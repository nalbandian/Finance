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Finanzen\"/>
    </mc:Choice>
  </mc:AlternateContent>
  <xr:revisionPtr revIDLastSave="0" documentId="13_ncr:1_{5FBCFDAC-4319-4797-AB94-CC757618BA33}" xr6:coauthVersionLast="46" xr6:coauthVersionMax="46" xr10:uidLastSave="{00000000-0000-0000-0000-000000000000}"/>
  <bookViews>
    <workbookView xWindow="-120" yWindow="-120" windowWidth="38640" windowHeight="21240" activeTab="5" xr2:uid="{00000000-000D-0000-FFFF-FFFF00000000}"/>
  </bookViews>
  <sheets>
    <sheet name="2016" sheetId="1" r:id="rId1"/>
    <sheet name="2017" sheetId="3" r:id="rId2"/>
    <sheet name="2018" sheetId="4" r:id="rId3"/>
    <sheet name="2019" sheetId="7" r:id="rId4"/>
    <sheet name="laufende Kosten 2019" sheetId="8" r:id="rId5"/>
    <sheet name="2020-2021" sheetId="9" r:id="rId6"/>
  </sheets>
  <functionGroups builtInGroupCount="19"/>
  <definedNames>
    <definedName name="_xlnm._FilterDatabase" localSheetId="4" hidden="1">'laufende Kosten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8" i="7" l="1"/>
  <c r="B17" i="7" l="1"/>
  <c r="F24" i="9" l="1"/>
  <c r="F20" i="9"/>
  <c r="F6" i="9" l="1"/>
  <c r="F10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B82" i="4" l="1"/>
  <c r="B78" i="3" l="1"/>
  <c r="F11" i="7"/>
  <c r="F13" i="7"/>
  <c r="R358" i="8"/>
  <c r="U350" i="8"/>
  <c r="R341" i="8"/>
  <c r="S336" i="8"/>
  <c r="U303" i="8"/>
  <c r="R237" i="8"/>
  <c r="S230" i="8"/>
  <c r="S294" i="8"/>
  <c r="U273" i="8"/>
  <c r="U352" i="8"/>
  <c r="R343" i="8"/>
  <c r="S338" i="8"/>
  <c r="U305" i="8"/>
  <c r="R239" i="8"/>
  <c r="S232" i="8"/>
  <c r="S296" i="8"/>
  <c r="R346" i="8"/>
  <c r="U308" i="8"/>
  <c r="S235" i="8"/>
  <c r="U246" i="8"/>
  <c r="U299" i="8"/>
  <c r="R298" i="8"/>
  <c r="R106" i="8"/>
  <c r="R170" i="8"/>
  <c r="U357" i="8"/>
  <c r="S343" i="8"/>
  <c r="R244" i="8"/>
  <c r="T201" i="8"/>
  <c r="R286" i="8"/>
  <c r="U226" i="8"/>
  <c r="T244" i="8"/>
  <c r="R139" i="8"/>
  <c r="U314" i="8"/>
  <c r="R321" i="8"/>
  <c r="S340" i="8"/>
  <c r="U343" i="8"/>
  <c r="S210" i="8"/>
  <c r="S298" i="8"/>
  <c r="R356" i="8"/>
  <c r="R323" i="8"/>
  <c r="S342" i="8"/>
  <c r="U346" i="8"/>
  <c r="S212" i="8"/>
  <c r="R305" i="8"/>
  <c r="S324" i="8"/>
  <c r="U312" i="8"/>
  <c r="R265" i="8"/>
  <c r="S282" i="8"/>
  <c r="T284" i="8"/>
  <c r="R307" i="8"/>
  <c r="S326" i="8"/>
  <c r="U315" i="8"/>
  <c r="R267" i="8"/>
  <c r="S284" i="8"/>
  <c r="U334" i="8"/>
  <c r="R234" i="8"/>
  <c r="U201" i="8"/>
  <c r="T242" i="8"/>
  <c r="U220" i="8"/>
  <c r="R158" i="8"/>
  <c r="S365" i="8"/>
  <c r="U301" i="8"/>
  <c r="S277" i="8"/>
  <c r="U219" i="8"/>
  <c r="U288" i="8"/>
  <c r="R127" i="8"/>
  <c r="S315" i="8"/>
  <c r="S273" i="8"/>
  <c r="R280" i="8"/>
  <c r="R125" i="8"/>
  <c r="S143" i="8"/>
  <c r="T128" i="8"/>
  <c r="T192" i="8"/>
  <c r="U134" i="8"/>
  <c r="U195" i="8"/>
  <c r="S328" i="8"/>
  <c r="S202" i="8"/>
  <c r="U289" i="8"/>
  <c r="S330" i="8"/>
  <c r="S204" i="8"/>
  <c r="U363" i="8"/>
  <c r="R218" i="8"/>
  <c r="U256" i="8"/>
  <c r="T275" i="8"/>
  <c r="R146" i="8"/>
  <c r="R332" i="8"/>
  <c r="R268" i="8"/>
  <c r="R274" i="8"/>
  <c r="U257" i="8"/>
  <c r="R357" i="8"/>
  <c r="S241" i="8"/>
  <c r="T247" i="8"/>
  <c r="S110" i="8"/>
  <c r="T120" i="8"/>
  <c r="U96" i="8"/>
  <c r="U131" i="8"/>
  <c r="S192" i="8"/>
  <c r="R64" i="8"/>
  <c r="S38" i="8"/>
  <c r="T12" i="8"/>
  <c r="T76" i="8"/>
  <c r="U82" i="8"/>
  <c r="U51" i="8"/>
  <c r="R326" i="8"/>
  <c r="S215" i="8"/>
  <c r="R350" i="8"/>
  <c r="S364" i="8"/>
  <c r="U366" i="8"/>
  <c r="U324" i="8"/>
  <c r="T303" i="8"/>
  <c r="U327" i="8"/>
  <c r="R253" i="8"/>
  <c r="S246" i="8"/>
  <c r="T210" i="8"/>
  <c r="R351" i="8"/>
  <c r="S354" i="8"/>
  <c r="U328" i="8"/>
  <c r="T305" i="8"/>
  <c r="U331" i="8"/>
  <c r="R255" i="8"/>
  <c r="S248" i="8"/>
  <c r="S351" i="8"/>
  <c r="S309" i="8"/>
  <c r="R210" i="8"/>
  <c r="S267" i="8"/>
  <c r="R283" i="8"/>
  <c r="R272" i="8"/>
  <c r="U269" i="8"/>
  <c r="R122" i="8"/>
  <c r="S107" i="8"/>
  <c r="R316" i="8"/>
  <c r="T326" i="8"/>
  <c r="S205" i="8"/>
  <c r="T224" i="8"/>
  <c r="U255" i="8"/>
  <c r="T259" i="8"/>
  <c r="T297" i="8"/>
  <c r="R155" i="8"/>
  <c r="R366" i="8"/>
  <c r="R345" i="8"/>
  <c r="T311" i="8"/>
  <c r="R217" i="8"/>
  <c r="S234" i="8"/>
  <c r="T218" i="8"/>
  <c r="S352" i="8"/>
  <c r="R347" i="8"/>
  <c r="T313" i="8"/>
  <c r="R219" i="8"/>
  <c r="S236" i="8"/>
  <c r="R329" i="8"/>
  <c r="S344" i="8"/>
  <c r="R201" i="8"/>
  <c r="S218" i="8"/>
  <c r="T202" i="8"/>
  <c r="R360" i="8"/>
  <c r="R331" i="8"/>
  <c r="S346" i="8"/>
  <c r="R203" i="8"/>
  <c r="S220" i="8"/>
  <c r="T204" i="8"/>
  <c r="S333" i="8"/>
  <c r="S211" i="8"/>
  <c r="U268" i="8"/>
  <c r="U206" i="8"/>
  <c r="R94" i="8"/>
  <c r="S99" i="8"/>
  <c r="R340" i="8"/>
  <c r="R220" i="8"/>
  <c r="T213" i="8"/>
  <c r="U291" i="8"/>
  <c r="R285" i="8"/>
  <c r="R147" i="8"/>
  <c r="T330" i="8"/>
  <c r="T227" i="8"/>
  <c r="T265" i="8"/>
  <c r="R157" i="8"/>
  <c r="S159" i="8"/>
  <c r="T144" i="8"/>
  <c r="U100" i="8"/>
  <c r="U180" i="8"/>
  <c r="T359" i="8"/>
  <c r="T323" i="8"/>
  <c r="S242" i="8"/>
  <c r="T361" i="8"/>
  <c r="T325" i="8"/>
  <c r="S244" i="8"/>
  <c r="R338" i="8"/>
  <c r="R266" i="8"/>
  <c r="U292" i="8"/>
  <c r="T282" i="8"/>
  <c r="S95" i="8"/>
  <c r="S327" i="8"/>
  <c r="S253" i="8"/>
  <c r="R281" i="8"/>
  <c r="U286" i="8"/>
  <c r="R336" i="8"/>
  <c r="T216" i="8"/>
  <c r="U208" i="8"/>
  <c r="S135" i="8"/>
  <c r="T140" i="8"/>
  <c r="U117" i="8"/>
  <c r="R185" i="8"/>
  <c r="R16" i="8"/>
  <c r="R80" i="8"/>
  <c r="S54" i="8"/>
  <c r="T28" i="8"/>
  <c r="T92" i="8"/>
  <c r="U40" i="8"/>
  <c r="U92" i="8"/>
  <c r="S321" i="8"/>
  <c r="S279" i="8"/>
  <c r="R288" i="8"/>
  <c r="R317" i="8"/>
  <c r="U335" i="8"/>
  <c r="S290" i="8"/>
  <c r="R319" i="8"/>
  <c r="U339" i="8"/>
  <c r="S276" i="8"/>
  <c r="S349" i="8"/>
  <c r="S275" i="8"/>
  <c r="U224" i="8"/>
  <c r="R98" i="8"/>
  <c r="R353" i="8"/>
  <c r="T342" i="8"/>
  <c r="T219" i="8"/>
  <c r="U210" i="8"/>
  <c r="R119" i="8"/>
  <c r="T346" i="8"/>
  <c r="R290" i="8"/>
  <c r="R117" i="8"/>
  <c r="S163" i="8"/>
  <c r="T168" i="8"/>
  <c r="R354" i="8"/>
  <c r="S357" i="8"/>
  <c r="R362" i="8"/>
  <c r="S304" i="8"/>
  <c r="R205" i="8"/>
  <c r="S262" i="8"/>
  <c r="R364" i="8"/>
  <c r="S306" i="8"/>
  <c r="R207" i="8"/>
  <c r="S264" i="8"/>
  <c r="S341" i="8"/>
  <c r="S299" i="8"/>
  <c r="U222" i="8"/>
  <c r="R138" i="8"/>
  <c r="R348" i="8"/>
  <c r="S237" i="8"/>
  <c r="U204" i="8"/>
  <c r="R107" i="8"/>
  <c r="U354" i="8"/>
  <c r="T331" i="8"/>
  <c r="S254" i="8"/>
  <c r="U356" i="8"/>
  <c r="T333" i="8"/>
  <c r="T355" i="8"/>
  <c r="T315" i="8"/>
  <c r="S238" i="8"/>
  <c r="T357" i="8"/>
  <c r="T317" i="8"/>
  <c r="S240" i="8"/>
  <c r="T332" i="8"/>
  <c r="T263" i="8"/>
  <c r="R114" i="8"/>
  <c r="S319" i="8"/>
  <c r="U238" i="8"/>
  <c r="R276" i="8"/>
  <c r="R216" i="8"/>
  <c r="U279" i="8"/>
  <c r="T96" i="8"/>
  <c r="R188" i="8"/>
  <c r="R313" i="8"/>
  <c r="S286" i="8"/>
  <c r="U323" i="8"/>
  <c r="S325" i="8"/>
  <c r="R289" i="8"/>
  <c r="S127" i="8"/>
  <c r="T208" i="8"/>
  <c r="R115" i="8"/>
  <c r="T300" i="8"/>
  <c r="S155" i="8"/>
  <c r="S180" i="8"/>
  <c r="R32" i="8"/>
  <c r="S70" i="8"/>
  <c r="U18" i="8"/>
  <c r="S249" i="8"/>
  <c r="U213" i="8"/>
  <c r="U287" i="8"/>
  <c r="T327" i="8"/>
  <c r="U225" i="8"/>
  <c r="S334" i="8"/>
  <c r="S252" i="8"/>
  <c r="T348" i="8"/>
  <c r="T276" i="8"/>
  <c r="R293" i="8"/>
  <c r="U365" i="8"/>
  <c r="S213" i="8"/>
  <c r="T230" i="8"/>
  <c r="R151" i="8"/>
  <c r="S257" i="8"/>
  <c r="T252" i="8"/>
  <c r="T104" i="8"/>
  <c r="U104" i="8"/>
  <c r="U147" i="8"/>
  <c r="R4" i="8"/>
  <c r="R68" i="8"/>
  <c r="S42" i="8"/>
  <c r="T16" i="8"/>
  <c r="T80" i="8"/>
  <c r="U47" i="8"/>
  <c r="U67" i="8"/>
  <c r="S312" i="8"/>
  <c r="R257" i="8"/>
  <c r="U266" i="8"/>
  <c r="S314" i="8"/>
  <c r="R259" i="8"/>
  <c r="T356" i="8"/>
  <c r="R202" i="8"/>
  <c r="U236" i="8"/>
  <c r="T249" i="8"/>
  <c r="R142" i="8"/>
  <c r="R324" i="8"/>
  <c r="R252" i="8"/>
  <c r="U297" i="8"/>
  <c r="U241" i="8"/>
  <c r="R163" i="8"/>
  <c r="S225" i="8"/>
  <c r="T231" i="8"/>
  <c r="S100" i="8"/>
  <c r="T116" i="8"/>
  <c r="T200" i="8"/>
  <c r="U196" i="8"/>
  <c r="U177" i="8"/>
  <c r="R60" i="8"/>
  <c r="S34" i="8"/>
  <c r="T8" i="8"/>
  <c r="T72" i="8"/>
  <c r="U66" i="8"/>
  <c r="U70" i="8"/>
  <c r="R310" i="8"/>
  <c r="R270" i="8"/>
  <c r="U243" i="8"/>
  <c r="T289" i="8"/>
  <c r="S122" i="8"/>
  <c r="T109" i="8"/>
  <c r="T173" i="8"/>
  <c r="U173" i="8"/>
  <c r="U167" i="8"/>
  <c r="S196" i="8"/>
  <c r="R65" i="8"/>
  <c r="S39" i="8"/>
  <c r="T13" i="8"/>
  <c r="T77" i="8"/>
  <c r="T354" i="8"/>
  <c r="S310" i="8"/>
  <c r="U221" i="8"/>
  <c r="R236" i="8"/>
  <c r="R264" i="8"/>
  <c r="T196" i="8"/>
  <c r="S30" i="8"/>
  <c r="U54" i="8"/>
  <c r="T351" i="8"/>
  <c r="S320" i="8"/>
  <c r="R221" i="8"/>
  <c r="S278" i="8"/>
  <c r="T353" i="8"/>
  <c r="S322" i="8"/>
  <c r="R223" i="8"/>
  <c r="S280" i="8"/>
  <c r="T324" i="8"/>
  <c r="T223" i="8"/>
  <c r="T257" i="8"/>
  <c r="R154" i="8"/>
  <c r="S311" i="8"/>
  <c r="S269" i="8"/>
  <c r="U274" i="8"/>
  <c r="R123" i="8"/>
  <c r="R301" i="8"/>
  <c r="U307" i="8"/>
  <c r="S274" i="8"/>
  <c r="R303" i="8"/>
  <c r="U309" i="8"/>
  <c r="U358" i="8"/>
  <c r="T339" i="8"/>
  <c r="S258" i="8"/>
  <c r="U360" i="8"/>
  <c r="T341" i="8"/>
  <c r="S260" i="8"/>
  <c r="U337" i="8"/>
  <c r="U267" i="8"/>
  <c r="R134" i="8"/>
  <c r="T310" i="8"/>
  <c r="T292" i="8"/>
  <c r="R103" i="8"/>
  <c r="S209" i="8"/>
  <c r="R93" i="8"/>
  <c r="T112" i="8"/>
  <c r="U181" i="8"/>
  <c r="U316" i="8"/>
  <c r="U209" i="8"/>
  <c r="R231" i="8"/>
  <c r="T340" i="8"/>
  <c r="T293" i="8"/>
  <c r="T366" i="8"/>
  <c r="U260" i="8"/>
  <c r="R143" i="8"/>
  <c r="U216" i="8"/>
  <c r="T100" i="8"/>
  <c r="S175" i="8"/>
  <c r="R48" i="8"/>
  <c r="S86" i="8"/>
  <c r="U34" i="8"/>
  <c r="T352" i="8"/>
  <c r="U293" i="8"/>
  <c r="T363" i="8"/>
  <c r="R233" i="8"/>
  <c r="R352" i="8"/>
  <c r="T329" i="8"/>
  <c r="R359" i="8"/>
  <c r="R226" i="8"/>
  <c r="U203" i="8"/>
  <c r="R126" i="8"/>
  <c r="U322" i="8"/>
  <c r="S261" i="8"/>
  <c r="U276" i="8"/>
  <c r="S362" i="8"/>
  <c r="U232" i="8"/>
  <c r="R165" i="8"/>
  <c r="T124" i="8"/>
  <c r="U145" i="8"/>
  <c r="S190" i="8"/>
  <c r="R20" i="8"/>
  <c r="R84" i="8"/>
  <c r="S58" i="8"/>
  <c r="T32" i="8"/>
  <c r="U6" i="8"/>
  <c r="U56" i="8"/>
  <c r="U53" i="8"/>
  <c r="T307" i="8"/>
  <c r="S226" i="8"/>
  <c r="S360" i="8"/>
  <c r="T309" i="8"/>
  <c r="S228" i="8"/>
  <c r="R330" i="8"/>
  <c r="R258" i="8"/>
  <c r="T296" i="8"/>
  <c r="U253" i="8"/>
  <c r="R166" i="8"/>
  <c r="S303" i="8"/>
  <c r="S245" i="8"/>
  <c r="U271" i="8"/>
  <c r="T262" i="8"/>
  <c r="R320" i="8"/>
  <c r="T205" i="8"/>
  <c r="U249" i="8"/>
  <c r="S131" i="8"/>
  <c r="T136" i="8"/>
  <c r="U112" i="8"/>
  <c r="U179" i="8"/>
  <c r="R12" i="8"/>
  <c r="R76" i="8"/>
  <c r="S50" i="8"/>
  <c r="T24" i="8"/>
  <c r="T88" i="8"/>
  <c r="U79" i="8"/>
  <c r="U60" i="8"/>
  <c r="S305" i="8"/>
  <c r="S263" i="8"/>
  <c r="T264" i="8"/>
  <c r="R120" i="8"/>
  <c r="S140" i="8"/>
  <c r="T125" i="8"/>
  <c r="T189" i="8"/>
  <c r="U122" i="8"/>
  <c r="U191" i="8"/>
  <c r="R17" i="8"/>
  <c r="R81" i="8"/>
  <c r="S55" i="8"/>
  <c r="T29" i="8"/>
  <c r="U3" i="8"/>
  <c r="S308" i="8"/>
  <c r="R251" i="8"/>
  <c r="T241" i="8"/>
  <c r="U277" i="8"/>
  <c r="U202" i="8"/>
  <c r="S191" i="8"/>
  <c r="T4" i="8"/>
  <c r="U217" i="8"/>
  <c r="U262" i="8"/>
  <c r="R144" i="8"/>
  <c r="T97" i="8"/>
  <c r="T181" i="8"/>
  <c r="U170" i="8"/>
  <c r="U113" i="8"/>
  <c r="R73" i="8"/>
  <c r="S67" i="8"/>
  <c r="T65" i="8"/>
  <c r="S356" i="8"/>
  <c r="S201" i="8"/>
  <c r="T215" i="8"/>
  <c r="R164" i="8"/>
  <c r="T147" i="8"/>
  <c r="U184" i="8"/>
  <c r="R39" i="8"/>
  <c r="S77" i="8"/>
  <c r="U25" i="8"/>
  <c r="T225" i="8"/>
  <c r="R169" i="8"/>
  <c r="T150" i="8"/>
  <c r="U188" i="8"/>
  <c r="R42" i="8"/>
  <c r="S80" i="8"/>
  <c r="R209" i="8"/>
  <c r="R250" i="8"/>
  <c r="S285" i="8"/>
  <c r="R133" i="8"/>
  <c r="R72" i="8"/>
  <c r="U85" i="8"/>
  <c r="T294" i="8"/>
  <c r="S136" i="8"/>
  <c r="T169" i="8"/>
  <c r="U192" i="8"/>
  <c r="R37" i="8"/>
  <c r="S59" i="8"/>
  <c r="T81" i="8"/>
  <c r="T338" i="8"/>
  <c r="R262" i="8"/>
  <c r="S120" i="8"/>
  <c r="U111" i="8"/>
  <c r="R23" i="8"/>
  <c r="T11" i="8"/>
  <c r="S358" i="8"/>
  <c r="R137" i="8"/>
  <c r="T174" i="8"/>
  <c r="U194" i="8"/>
  <c r="U364" i="8"/>
  <c r="T256" i="8"/>
  <c r="T228" i="8"/>
  <c r="T152" i="8"/>
  <c r="S78" i="8"/>
  <c r="S337" i="8"/>
  <c r="T266" i="8"/>
  <c r="S168" i="8"/>
  <c r="U101" i="8"/>
  <c r="R197" i="8"/>
  <c r="R69" i="8"/>
  <c r="T5" i="8"/>
  <c r="U39" i="8"/>
  <c r="R256" i="8"/>
  <c r="S224" i="8"/>
  <c r="S111" i="8"/>
  <c r="U317" i="8"/>
  <c r="U163" i="8"/>
  <c r="U10" i="8"/>
  <c r="S231" i="8"/>
  <c r="R160" i="8"/>
  <c r="T129" i="8"/>
  <c r="S184" i="8"/>
  <c r="U161" i="8"/>
  <c r="S15" i="8"/>
  <c r="T37" i="8"/>
  <c r="R312" i="8"/>
  <c r="T221" i="8"/>
  <c r="U278" i="8"/>
  <c r="T155" i="8"/>
  <c r="U199" i="8"/>
  <c r="S37" i="8"/>
  <c r="U33" i="8"/>
  <c r="U218" i="8"/>
  <c r="T110" i="8"/>
  <c r="S199" i="8"/>
  <c r="R90" i="8"/>
  <c r="T78" i="8"/>
  <c r="S329" i="8"/>
  <c r="R300" i="8"/>
  <c r="T111" i="8"/>
  <c r="R179" i="8"/>
  <c r="R3" i="8"/>
  <c r="S41" i="8"/>
  <c r="T79" i="8"/>
  <c r="U313" i="8"/>
  <c r="R113" i="8"/>
  <c r="T122" i="8"/>
  <c r="R195" i="8"/>
  <c r="R14" i="8"/>
  <c r="S52" i="8"/>
  <c r="T90" i="8"/>
  <c r="T206" i="8"/>
  <c r="R291" i="8"/>
  <c r="T246" i="8"/>
  <c r="S167" i="8"/>
  <c r="S46" i="8"/>
  <c r="S350" i="8"/>
  <c r="T291" i="8"/>
  <c r="S160" i="8"/>
  <c r="T193" i="8"/>
  <c r="U175" i="8"/>
  <c r="R57" i="8"/>
  <c r="S79" i="8"/>
  <c r="U15" i="8"/>
  <c r="R224" i="8"/>
  <c r="R299" i="8"/>
  <c r="S154" i="8"/>
  <c r="U114" i="8"/>
  <c r="R55" i="8"/>
  <c r="R309" i="8"/>
  <c r="R269" i="8"/>
  <c r="R311" i="8"/>
  <c r="R271" i="8"/>
  <c r="R242" i="8"/>
  <c r="T240" i="8"/>
  <c r="U310" i="8"/>
  <c r="U300" i="8"/>
  <c r="U340" i="8"/>
  <c r="U234" i="8"/>
  <c r="R243" i="8"/>
  <c r="R225" i="8"/>
  <c r="U311" i="8"/>
  <c r="T364" i="8"/>
  <c r="T267" i="8"/>
  <c r="R260" i="8"/>
  <c r="R167" i="8"/>
  <c r="S105" i="8"/>
  <c r="U115" i="8"/>
  <c r="R315" i="8"/>
  <c r="S259" i="8"/>
  <c r="T334" i="8"/>
  <c r="T314" i="8"/>
  <c r="T164" i="8"/>
  <c r="S6" i="8"/>
  <c r="U49" i="8"/>
  <c r="T274" i="8"/>
  <c r="S206" i="8"/>
  <c r="R235" i="8"/>
  <c r="S219" i="8"/>
  <c r="R150" i="8"/>
  <c r="U270" i="8"/>
  <c r="U347" i="8"/>
  <c r="S116" i="8"/>
  <c r="U118" i="8"/>
  <c r="R36" i="8"/>
  <c r="S74" i="8"/>
  <c r="U22" i="8"/>
  <c r="S359" i="8"/>
  <c r="S270" i="8"/>
  <c r="T349" i="8"/>
  <c r="S317" i="8"/>
  <c r="T278" i="8"/>
  <c r="S115" i="8"/>
  <c r="S293" i="8"/>
  <c r="R111" i="8"/>
  <c r="R275" i="8"/>
  <c r="S151" i="8"/>
  <c r="U193" i="8"/>
  <c r="R28" i="8"/>
  <c r="S66" i="8"/>
  <c r="U14" i="8"/>
  <c r="T306" i="8"/>
  <c r="T220" i="8"/>
  <c r="R152" i="8"/>
  <c r="T141" i="8"/>
  <c r="U176" i="8"/>
  <c r="R33" i="8"/>
  <c r="S71" i="8"/>
  <c r="U23" i="8"/>
  <c r="S366" i="8"/>
  <c r="U223" i="8"/>
  <c r="U149" i="8"/>
  <c r="U326" i="8"/>
  <c r="U229" i="8"/>
  <c r="S152" i="8"/>
  <c r="U93" i="8"/>
  <c r="R181" i="8"/>
  <c r="R53" i="8"/>
  <c r="S91" i="8"/>
  <c r="U19" i="8"/>
  <c r="R208" i="8"/>
  <c r="U283" i="8"/>
  <c r="S162" i="8"/>
  <c r="U189" i="8"/>
  <c r="R71" i="8"/>
  <c r="T51" i="8"/>
  <c r="T328" i="8"/>
  <c r="S133" i="8"/>
  <c r="U106" i="8"/>
  <c r="R10" i="8"/>
  <c r="T22" i="8"/>
  <c r="T345" i="8"/>
  <c r="U338" i="8"/>
  <c r="T132" i="8"/>
  <c r="T52" i="8"/>
  <c r="T209" i="8"/>
  <c r="S164" i="8"/>
  <c r="R325" i="8"/>
  <c r="S214" i="8"/>
  <c r="R327" i="8"/>
  <c r="S216" i="8"/>
  <c r="S203" i="8"/>
  <c r="U294" i="8"/>
  <c r="R212" i="8"/>
  <c r="R273" i="8"/>
  <c r="S316" i="8"/>
  <c r="R279" i="8"/>
  <c r="R263" i="8"/>
  <c r="R245" i="8"/>
  <c r="S302" i="8"/>
  <c r="R322" i="8"/>
  <c r="U237" i="8"/>
  <c r="S229" i="8"/>
  <c r="R304" i="8"/>
  <c r="S126" i="8"/>
  <c r="S174" i="8"/>
  <c r="U320" i="8"/>
  <c r="T212" i="8"/>
  <c r="R204" i="8"/>
  <c r="R232" i="8"/>
  <c r="T184" i="8"/>
  <c r="S22" i="8"/>
  <c r="U27" i="8"/>
  <c r="T271" i="8"/>
  <c r="S250" i="8"/>
  <c r="S208" i="8"/>
  <c r="T217" i="8"/>
  <c r="S103" i="8"/>
  <c r="R294" i="8"/>
  <c r="R248" i="8"/>
  <c r="S139" i="8"/>
  <c r="R186" i="8"/>
  <c r="R52" i="8"/>
  <c r="S90" i="8"/>
  <c r="U38" i="8"/>
  <c r="R337" i="8"/>
  <c r="T214" i="8"/>
  <c r="R215" i="8"/>
  <c r="T316" i="8"/>
  <c r="U282" i="8"/>
  <c r="T358" i="8"/>
  <c r="U228" i="8"/>
  <c r="R135" i="8"/>
  <c r="T286" i="8"/>
  <c r="S171" i="8"/>
  <c r="U166" i="8"/>
  <c r="R44" i="8"/>
  <c r="S82" i="8"/>
  <c r="U30" i="8"/>
  <c r="R363" i="8"/>
  <c r="T280" i="8"/>
  <c r="S101" i="8"/>
  <c r="T157" i="8"/>
  <c r="R198" i="8"/>
  <c r="R49" i="8"/>
  <c r="S87" i="8"/>
  <c r="U83" i="8"/>
  <c r="U321" i="8"/>
  <c r="R159" i="8"/>
  <c r="R56" i="8"/>
  <c r="U329" i="8"/>
  <c r="R104" i="8"/>
  <c r="T117" i="8"/>
  <c r="R192" i="8"/>
  <c r="U140" i="8"/>
  <c r="S3" i="8"/>
  <c r="T21" i="8"/>
  <c r="U76" i="8"/>
  <c r="S281" i="8"/>
  <c r="T279" i="8"/>
  <c r="T115" i="8"/>
  <c r="S178" i="8"/>
  <c r="S13" i="8"/>
  <c r="T83" i="8"/>
  <c r="R297" i="8"/>
  <c r="S165" i="8"/>
  <c r="S200" i="8"/>
  <c r="R74" i="8"/>
  <c r="T54" i="8"/>
  <c r="S288" i="8"/>
  <c r="T235" i="8"/>
  <c r="S172" i="8"/>
  <c r="U63" i="8"/>
  <c r="T232" i="8"/>
  <c r="T113" i="8"/>
  <c r="U138" i="8"/>
  <c r="R61" i="8"/>
  <c r="T25" i="8"/>
  <c r="R344" i="8"/>
  <c r="U227" i="8"/>
  <c r="T131" i="8"/>
  <c r="S189" i="8"/>
  <c r="T59" i="8"/>
  <c r="U247" i="8"/>
  <c r="T134" i="8"/>
  <c r="R26" i="8"/>
  <c r="R306" i="8"/>
  <c r="U205" i="8"/>
  <c r="U150" i="8"/>
  <c r="U72" i="8"/>
  <c r="U214" i="8"/>
  <c r="T121" i="8"/>
  <c r="U154" i="8"/>
  <c r="R41" i="8"/>
  <c r="T33" i="8"/>
  <c r="S307" i="8"/>
  <c r="R335" i="8"/>
  <c r="U325" i="8"/>
  <c r="S147" i="8"/>
  <c r="T20" i="8"/>
  <c r="R278" i="8"/>
  <c r="S148" i="8"/>
  <c r="U105" i="8"/>
  <c r="R21" i="8"/>
  <c r="S75" i="8"/>
  <c r="U86" i="8"/>
  <c r="U342" i="8"/>
  <c r="S146" i="8"/>
  <c r="S195" i="8"/>
  <c r="S85" i="8"/>
  <c r="S313" i="8"/>
  <c r="S149" i="8"/>
  <c r="U128" i="8"/>
  <c r="S88" i="8"/>
  <c r="U57" i="8"/>
  <c r="R156" i="8"/>
  <c r="T175" i="8"/>
  <c r="U164" i="8"/>
  <c r="S73" i="8"/>
  <c r="U43" i="8"/>
  <c r="U233" i="8"/>
  <c r="T154" i="8"/>
  <c r="U187" i="8"/>
  <c r="S20" i="8"/>
  <c r="U32" i="8"/>
  <c r="S256" i="8"/>
  <c r="S221" i="8"/>
  <c r="U108" i="8"/>
  <c r="U26" i="8"/>
  <c r="U296" i="8"/>
  <c r="T105" i="8"/>
  <c r="R191" i="8"/>
  <c r="R25" i="8"/>
  <c r="T17" i="8"/>
  <c r="R328" i="8"/>
  <c r="U344" i="8"/>
  <c r="T123" i="8"/>
  <c r="U148" i="8"/>
  <c r="T3" i="8"/>
  <c r="U45" i="8"/>
  <c r="R121" i="8"/>
  <c r="T166" i="8"/>
  <c r="U160" i="8"/>
  <c r="S56" i="8"/>
  <c r="U28" i="8"/>
  <c r="U230" i="8"/>
  <c r="R31" i="8"/>
  <c r="T190" i="8"/>
  <c r="U4" i="8"/>
  <c r="R277" i="8"/>
  <c r="T135" i="8"/>
  <c r="U183" i="8"/>
  <c r="S25" i="8"/>
  <c r="U13" i="8"/>
  <c r="U290" i="8"/>
  <c r="T106" i="8"/>
  <c r="S183" i="8"/>
  <c r="R86" i="8"/>
  <c r="T74" i="8"/>
  <c r="T99" i="8"/>
  <c r="S271" i="8"/>
  <c r="S32" i="8"/>
  <c r="S223" i="8"/>
  <c r="S142" i="8"/>
  <c r="U137" i="8"/>
  <c r="R43" i="8"/>
  <c r="T31" i="8"/>
  <c r="S345" i="8"/>
  <c r="S108" i="8"/>
  <c r="U94" i="8"/>
  <c r="R6" i="8"/>
  <c r="S92" i="8"/>
  <c r="U41" i="8"/>
  <c r="R189" i="8"/>
  <c r="T102" i="8"/>
  <c r="T62" i="8"/>
  <c r="T229" i="8"/>
  <c r="T119" i="8"/>
  <c r="U200" i="8"/>
  <c r="R91" i="8"/>
  <c r="T87" i="8"/>
  <c r="T299" i="8"/>
  <c r="S161" i="8"/>
  <c r="U142" i="8"/>
  <c r="R62" i="8"/>
  <c r="T50" i="8"/>
  <c r="R302" i="8"/>
  <c r="S69" i="8"/>
  <c r="R193" i="8"/>
  <c r="U58" i="8"/>
  <c r="R124" i="8"/>
  <c r="T167" i="8"/>
  <c r="S181" i="8"/>
  <c r="S57" i="8"/>
  <c r="U62" i="8"/>
  <c r="T290" i="8"/>
  <c r="T138" i="8"/>
  <c r="R177" i="8"/>
  <c r="S28" i="8"/>
  <c r="U16" i="8"/>
  <c r="T319" i="8"/>
  <c r="T226" i="8"/>
  <c r="T321" i="8"/>
  <c r="U355" i="8"/>
  <c r="T283" i="8"/>
  <c r="S123" i="8"/>
  <c r="U248" i="8"/>
  <c r="R171" i="8"/>
  <c r="R241" i="8"/>
  <c r="U345" i="8"/>
  <c r="R349" i="8"/>
  <c r="T222" i="8"/>
  <c r="R227" i="8"/>
  <c r="S251" i="8"/>
  <c r="S119" i="8"/>
  <c r="T285" i="8"/>
  <c r="T288" i="8"/>
  <c r="T160" i="8"/>
  <c r="U319" i="8"/>
  <c r="S272" i="8"/>
  <c r="R284" i="8"/>
  <c r="R296" i="8"/>
  <c r="R109" i="8"/>
  <c r="U152" i="8"/>
  <c r="T44" i="8"/>
  <c r="T336" i="8"/>
  <c r="U332" i="8"/>
  <c r="T365" i="8"/>
  <c r="S361" i="8"/>
  <c r="T233" i="8"/>
  <c r="S335" i="8"/>
  <c r="U295" i="8"/>
  <c r="T254" i="8"/>
  <c r="T148" i="8"/>
  <c r="U168" i="8"/>
  <c r="S10" i="8"/>
  <c r="T48" i="8"/>
  <c r="U65" i="8"/>
  <c r="T347" i="8"/>
  <c r="S363" i="8"/>
  <c r="S268" i="8"/>
  <c r="S243" i="8"/>
  <c r="T335" i="8"/>
  <c r="U251" i="8"/>
  <c r="R261" i="8"/>
  <c r="R247" i="8"/>
  <c r="U263" i="8"/>
  <c r="R118" i="8"/>
  <c r="T60" i="8"/>
  <c r="U318" i="8"/>
  <c r="R282" i="8"/>
  <c r="T64" i="8"/>
  <c r="S292" i="8"/>
  <c r="T318" i="8"/>
  <c r="S347" i="8"/>
  <c r="T156" i="8"/>
  <c r="R92" i="8"/>
  <c r="U88" i="8"/>
  <c r="T253" i="8"/>
  <c r="U97" i="8"/>
  <c r="S7" i="8"/>
  <c r="R249" i="8"/>
  <c r="S94" i="8"/>
  <c r="S247" i="8"/>
  <c r="T137" i="8"/>
  <c r="R9" i="8"/>
  <c r="T41" i="8"/>
  <c r="U264" i="8"/>
  <c r="T179" i="8"/>
  <c r="S45" i="8"/>
  <c r="T295" i="8"/>
  <c r="S182" i="8"/>
  <c r="U362" i="8"/>
  <c r="T362" i="8"/>
  <c r="R342" i="8"/>
  <c r="T145" i="8"/>
  <c r="U178" i="8"/>
  <c r="S83" i="8"/>
  <c r="R240" i="8"/>
  <c r="R132" i="8"/>
  <c r="U159" i="8"/>
  <c r="U9" i="8"/>
  <c r="S124" i="8"/>
  <c r="U171" i="8"/>
  <c r="S227" i="8"/>
  <c r="U231" i="8"/>
  <c r="T84" i="8"/>
  <c r="R136" i="8"/>
  <c r="T177" i="8"/>
  <c r="R13" i="8"/>
  <c r="T57" i="8"/>
  <c r="S348" i="8"/>
  <c r="U215" i="8"/>
  <c r="T172" i="8"/>
  <c r="U351" i="8"/>
  <c r="S117" i="8"/>
  <c r="R182" i="8"/>
  <c r="R77" i="8"/>
  <c r="U7" i="8"/>
  <c r="T272" i="8"/>
  <c r="T195" i="8"/>
  <c r="R87" i="8"/>
  <c r="U281" i="8"/>
  <c r="T198" i="8"/>
  <c r="S40" i="8"/>
  <c r="S287" i="8"/>
  <c r="S158" i="8"/>
  <c r="R173" i="8"/>
  <c r="T15" i="8"/>
  <c r="U252" i="8"/>
  <c r="S169" i="8"/>
  <c r="U186" i="8"/>
  <c r="T26" i="8"/>
  <c r="T301" i="8"/>
  <c r="R131" i="8"/>
  <c r="R40" i="8"/>
  <c r="S295" i="8"/>
  <c r="T133" i="8"/>
  <c r="S173" i="8"/>
  <c r="S51" i="8"/>
  <c r="S339" i="8"/>
  <c r="R116" i="8"/>
  <c r="U127" i="8"/>
  <c r="T43" i="8"/>
  <c r="U280" i="8"/>
  <c r="T126" i="8"/>
  <c r="R18" i="8"/>
  <c r="T46" i="8"/>
  <c r="T344" i="8"/>
  <c r="T27" i="8"/>
  <c r="S24" i="8"/>
  <c r="U212" i="8"/>
  <c r="T183" i="8"/>
  <c r="R27" i="8"/>
  <c r="T63" i="8"/>
  <c r="T270" i="8"/>
  <c r="T194" i="8"/>
  <c r="R38" i="8"/>
  <c r="U24" i="8"/>
  <c r="R79" i="8"/>
  <c r="R34" i="8"/>
  <c r="T277" i="8"/>
  <c r="T151" i="8"/>
  <c r="R175" i="8"/>
  <c r="T71" i="8"/>
  <c r="T239" i="8"/>
  <c r="T162" i="8"/>
  <c r="R54" i="8"/>
  <c r="T82" i="8"/>
  <c r="T139" i="8"/>
  <c r="R178" i="8"/>
  <c r="T360" i="8"/>
  <c r="S150" i="8"/>
  <c r="U132" i="8"/>
  <c r="S89" i="8"/>
  <c r="R246" i="8"/>
  <c r="T130" i="8"/>
  <c r="U174" i="8"/>
  <c r="T10" i="8"/>
  <c r="R148" i="8"/>
  <c r="T236" i="8"/>
  <c r="T70" i="8"/>
  <c r="S114" i="8"/>
  <c r="U130" i="8"/>
  <c r="S17" i="8"/>
  <c r="U359" i="8"/>
  <c r="S129" i="8"/>
  <c r="U172" i="8"/>
  <c r="S68" i="8"/>
  <c r="U68" i="8"/>
  <c r="T343" i="8"/>
  <c r="U304" i="8"/>
  <c r="S187" i="8"/>
  <c r="U69" i="8"/>
  <c r="U95" i="8"/>
  <c r="S53" i="8"/>
  <c r="R214" i="8"/>
  <c r="S157" i="8"/>
  <c r="U139" i="8"/>
  <c r="U89" i="8"/>
  <c r="R200" i="8"/>
  <c r="U169" i="8"/>
  <c r="T95" i="8"/>
  <c r="T23" i="8"/>
  <c r="T203" i="8"/>
  <c r="U185" i="8"/>
  <c r="R174" i="8"/>
  <c r="U80" i="8"/>
  <c r="S194" i="8"/>
  <c r="S81" i="8"/>
  <c r="T114" i="8"/>
  <c r="T42" i="8"/>
  <c r="T268" i="8"/>
  <c r="S104" i="8"/>
  <c r="S49" i="8"/>
  <c r="S118" i="8"/>
  <c r="S60" i="8"/>
  <c r="U91" i="8"/>
  <c r="U207" i="8"/>
  <c r="R59" i="8"/>
  <c r="R145" i="8"/>
  <c r="R70" i="8"/>
  <c r="U242" i="8"/>
  <c r="S355" i="8"/>
  <c r="S318" i="8"/>
  <c r="S291" i="8"/>
  <c r="T176" i="8"/>
  <c r="T269" i="8"/>
  <c r="R222" i="8"/>
  <c r="U284" i="8"/>
  <c r="T188" i="8"/>
  <c r="U35" i="8"/>
  <c r="T207" i="8"/>
  <c r="U341" i="8"/>
  <c r="U348" i="8"/>
  <c r="T180" i="8"/>
  <c r="S18" i="8"/>
  <c r="U11" i="8"/>
  <c r="U261" i="8"/>
  <c r="U120" i="8"/>
  <c r="S23" i="8"/>
  <c r="U258" i="8"/>
  <c r="T108" i="8"/>
  <c r="T234" i="8"/>
  <c r="T161" i="8"/>
  <c r="R29" i="8"/>
  <c r="T85" i="8"/>
  <c r="T312" i="8"/>
  <c r="U103" i="8"/>
  <c r="T19" i="8"/>
  <c r="R105" i="8"/>
  <c r="R180" i="8"/>
  <c r="S353" i="8"/>
  <c r="U254" i="8"/>
  <c r="R238" i="8"/>
  <c r="T197" i="8"/>
  <c r="R5" i="8"/>
  <c r="T53" i="8"/>
  <c r="S265" i="8"/>
  <c r="S170" i="8"/>
  <c r="R63" i="8"/>
  <c r="U78" i="8"/>
  <c r="T94" i="8"/>
  <c r="R333" i="8"/>
  <c r="R162" i="8"/>
  <c r="S121" i="8"/>
  <c r="T211" i="8"/>
  <c r="S112" i="8"/>
  <c r="U153" i="8"/>
  <c r="S11" i="8"/>
  <c r="T89" i="8"/>
  <c r="S266" i="8"/>
  <c r="U239" i="8"/>
  <c r="R24" i="8"/>
  <c r="T304" i="8"/>
  <c r="T101" i="8"/>
  <c r="U151" i="8"/>
  <c r="S43" i="8"/>
  <c r="S323" i="8"/>
  <c r="U298" i="8"/>
  <c r="U165" i="8"/>
  <c r="T35" i="8"/>
  <c r="R292" i="8"/>
  <c r="S176" i="8"/>
  <c r="T38" i="8"/>
  <c r="U259" i="8"/>
  <c r="T143" i="8"/>
  <c r="R35" i="8"/>
  <c r="T47" i="8"/>
  <c r="T238" i="8"/>
  <c r="T186" i="8"/>
  <c r="R46" i="8"/>
  <c r="T58" i="8"/>
  <c r="T308" i="8"/>
  <c r="S289" i="8"/>
  <c r="T36" i="8"/>
  <c r="R112" i="8"/>
  <c r="T165" i="8"/>
  <c r="R183" i="8"/>
  <c r="T49" i="8"/>
  <c r="S233" i="8"/>
  <c r="S109" i="8"/>
  <c r="R15" i="8"/>
  <c r="T91" i="8"/>
  <c r="T255" i="8"/>
  <c r="U98" i="8"/>
  <c r="R58" i="8"/>
  <c r="T86" i="8"/>
  <c r="S255" i="8"/>
  <c r="R318" i="8"/>
  <c r="T14" i="8"/>
  <c r="R140" i="8"/>
  <c r="R184" i="8"/>
  <c r="R75" i="8"/>
  <c r="U75" i="8"/>
  <c r="R161" i="8"/>
  <c r="U157" i="8"/>
  <c r="S36" i="8"/>
  <c r="U64" i="8"/>
  <c r="T67" i="8"/>
  <c r="T30" i="8"/>
  <c r="T248" i="8"/>
  <c r="T191" i="8"/>
  <c r="R83" i="8"/>
  <c r="U29" i="8"/>
  <c r="R97" i="8"/>
  <c r="R187" i="8"/>
  <c r="S4" i="8"/>
  <c r="U42" i="8"/>
  <c r="S29" i="8"/>
  <c r="R66" i="8"/>
  <c r="R287" i="8"/>
  <c r="T159" i="8"/>
  <c r="R11" i="8"/>
  <c r="T39" i="8"/>
  <c r="U272" i="8"/>
  <c r="T170" i="8"/>
  <c r="R22" i="8"/>
  <c r="U8" i="8"/>
  <c r="T187" i="8"/>
  <c r="T142" i="8"/>
  <c r="R334" i="8"/>
  <c r="S166" i="8"/>
  <c r="U143" i="8"/>
  <c r="T7" i="8"/>
  <c r="S239" i="8"/>
  <c r="T98" i="8"/>
  <c r="U133" i="8"/>
  <c r="T18" i="8"/>
  <c r="T337" i="8"/>
  <c r="U285" i="8"/>
  <c r="U349" i="8"/>
  <c r="T350" i="8"/>
  <c r="R229" i="8"/>
  <c r="R149" i="8"/>
  <c r="S332" i="8"/>
  <c r="R228" i="8"/>
  <c r="U198" i="8"/>
  <c r="R213" i="8"/>
  <c r="T273" i="8"/>
  <c r="T260" i="8"/>
  <c r="R101" i="8"/>
  <c r="U136" i="8"/>
  <c r="T40" i="8"/>
  <c r="T320" i="8"/>
  <c r="S156" i="8"/>
  <c r="U156" i="8"/>
  <c r="T45" i="8"/>
  <c r="R130" i="8"/>
  <c r="T68" i="8"/>
  <c r="S106" i="8"/>
  <c r="U197" i="8"/>
  <c r="S27" i="8"/>
  <c r="U330" i="8"/>
  <c r="R100" i="8"/>
  <c r="R176" i="8"/>
  <c r="U59" i="8"/>
  <c r="T118" i="8"/>
  <c r="S16" i="8"/>
  <c r="U235" i="8"/>
  <c r="S177" i="8"/>
  <c r="R128" i="8"/>
  <c r="U121" i="8"/>
  <c r="R89" i="8"/>
  <c r="U31" i="8"/>
  <c r="R355" i="8"/>
  <c r="T171" i="8"/>
  <c r="S21" i="8"/>
  <c r="S207" i="8"/>
  <c r="R172" i="8"/>
  <c r="S222" i="8"/>
  <c r="T302" i="8"/>
  <c r="R8" i="8"/>
  <c r="R254" i="8"/>
  <c r="S144" i="8"/>
  <c r="U135" i="8"/>
  <c r="S35" i="8"/>
  <c r="U353" i="8"/>
  <c r="S301" i="8"/>
  <c r="R99" i="8"/>
  <c r="S14" i="8"/>
  <c r="T237" i="8"/>
  <c r="T153" i="8"/>
  <c r="U124" i="8"/>
  <c r="T9" i="8"/>
  <c r="U333" i="8"/>
  <c r="S98" i="8"/>
  <c r="S188" i="8"/>
  <c r="T75" i="8"/>
  <c r="S102" i="8"/>
  <c r="R199" i="8"/>
  <c r="U20" i="8"/>
  <c r="T261" i="8"/>
  <c r="U99" i="8"/>
  <c r="R67" i="8"/>
  <c r="U21" i="8"/>
  <c r="S97" i="8"/>
  <c r="U110" i="8"/>
  <c r="R78" i="8"/>
  <c r="U87" i="8"/>
  <c r="T258" i="8"/>
  <c r="T281" i="8"/>
  <c r="U44" i="8"/>
  <c r="R168" i="8"/>
  <c r="U109" i="8"/>
  <c r="R85" i="8"/>
  <c r="T73" i="8"/>
  <c r="U244" i="8"/>
  <c r="T163" i="8"/>
  <c r="S5" i="8"/>
  <c r="U46" i="8"/>
  <c r="S113" i="8"/>
  <c r="U126" i="8"/>
  <c r="S8" i="8"/>
  <c r="U71" i="8"/>
  <c r="S138" i="8"/>
  <c r="R153" i="8"/>
  <c r="U48" i="8"/>
  <c r="S134" i="8"/>
  <c r="U162" i="8"/>
  <c r="S65" i="8"/>
  <c r="U302" i="8"/>
  <c r="S145" i="8"/>
  <c r="S198" i="8"/>
  <c r="S76" i="8"/>
  <c r="T250" i="8"/>
  <c r="S141" i="8"/>
  <c r="U12" i="8"/>
  <c r="S93" i="8"/>
  <c r="R190" i="8"/>
  <c r="S33" i="8"/>
  <c r="U52" i="8"/>
  <c r="S153" i="8"/>
  <c r="U123" i="8"/>
  <c r="S44" i="8"/>
  <c r="S297" i="8"/>
  <c r="U17" i="8"/>
  <c r="S64" i="8"/>
  <c r="R108" i="8"/>
  <c r="T199" i="8"/>
  <c r="R51" i="8"/>
  <c r="U37" i="8"/>
  <c r="R129" i="8"/>
  <c r="U102" i="8"/>
  <c r="S12" i="8"/>
  <c r="U74" i="8"/>
  <c r="U141" i="8"/>
  <c r="R82" i="8"/>
  <c r="T287" i="8"/>
  <c r="T127" i="8"/>
  <c r="R19" i="8"/>
  <c r="T55" i="8"/>
  <c r="U275" i="8"/>
  <c r="T178" i="8"/>
  <c r="R30" i="8"/>
  <c r="T66" i="8"/>
  <c r="R314" i="8"/>
  <c r="U361" i="8"/>
  <c r="U250" i="8"/>
  <c r="T243" i="8"/>
  <c r="S300" i="8"/>
  <c r="U190" i="8"/>
  <c r="U336" i="8"/>
  <c r="R95" i="8"/>
  <c r="S26" i="8"/>
  <c r="R339" i="8"/>
  <c r="R110" i="8"/>
  <c r="T251" i="8"/>
  <c r="R141" i="8"/>
  <c r="U182" i="8"/>
  <c r="T56" i="8"/>
  <c r="R206" i="8"/>
  <c r="T93" i="8"/>
  <c r="S193" i="8"/>
  <c r="T61" i="8"/>
  <c r="R308" i="8"/>
  <c r="U50" i="8"/>
  <c r="S132" i="8"/>
  <c r="U119" i="8"/>
  <c r="S47" i="8"/>
  <c r="T322" i="8"/>
  <c r="S130" i="8"/>
  <c r="R7" i="8"/>
  <c r="U77" i="8"/>
  <c r="T182" i="8"/>
  <c r="S48" i="8"/>
  <c r="R102" i="8"/>
  <c r="S62" i="8"/>
  <c r="S96" i="8"/>
  <c r="S186" i="8"/>
  <c r="S31" i="8"/>
  <c r="R365" i="8"/>
  <c r="U245" i="8"/>
  <c r="U146" i="8"/>
  <c r="S61" i="8"/>
  <c r="U265" i="8"/>
  <c r="U158" i="8"/>
  <c r="R211" i="8"/>
  <c r="S331" i="8"/>
  <c r="R88" i="8"/>
  <c r="U240" i="8"/>
  <c r="T149" i="8"/>
  <c r="S185" i="8"/>
  <c r="S63" i="8"/>
  <c r="U306" i="8"/>
  <c r="S283" i="8"/>
  <c r="U211" i="8"/>
  <c r="U81" i="8"/>
  <c r="R96" i="8"/>
  <c r="T185" i="8"/>
  <c r="R45" i="8"/>
  <c r="T69" i="8"/>
  <c r="S217" i="8"/>
  <c r="T107" i="8"/>
  <c r="R47" i="8"/>
  <c r="T158" i="8"/>
  <c r="R50" i="8"/>
  <c r="U90" i="8"/>
  <c r="S125" i="8"/>
  <c r="S179" i="8"/>
  <c r="S9" i="8"/>
  <c r="U61" i="8"/>
  <c r="S137" i="8"/>
  <c r="R194" i="8"/>
  <c r="S84" i="8"/>
  <c r="R361" i="8"/>
  <c r="U116" i="8"/>
  <c r="S128" i="8"/>
  <c r="S19" i="8"/>
  <c r="T245" i="8"/>
  <c r="T6" i="8"/>
  <c r="R230" i="8"/>
  <c r="S197" i="8"/>
  <c r="T146" i="8"/>
  <c r="T34" i="8"/>
  <c r="U129" i="8"/>
  <c r="T103" i="8"/>
  <c r="R295" i="8"/>
  <c r="U144" i="8"/>
  <c r="T298" i="8"/>
  <c r="U36" i="8"/>
  <c r="U125" i="8"/>
  <c r="U84" i="8"/>
  <c r="U155" i="8"/>
  <c r="U73" i="8"/>
  <c r="S72" i="8"/>
  <c r="U107" i="8"/>
  <c r="U5" i="8"/>
  <c r="R196" i="8"/>
  <c r="U55" i="8"/>
  <c r="Q4" i="8"/>
  <c r="R2" i="8"/>
  <c r="T2" i="8"/>
  <c r="S2" i="8"/>
  <c r="E271" i="8" l="1"/>
  <c r="B271" i="8" s="1"/>
  <c r="B369" i="8" s="1"/>
  <c r="C62" i="3" l="1"/>
  <c r="B70" i="7"/>
  <c r="C57" i="7"/>
  <c r="C38" i="7"/>
  <c r="C37" i="7"/>
  <c r="C36" i="7"/>
  <c r="C35" i="7"/>
  <c r="C34" i="7"/>
  <c r="C33" i="7"/>
  <c r="F10" i="7"/>
  <c r="B16" i="7" s="1"/>
  <c r="F6" i="7"/>
  <c r="B84" i="4"/>
  <c r="B80" i="3"/>
  <c r="C66" i="4"/>
  <c r="C65" i="4"/>
  <c r="B54" i="4"/>
  <c r="B57" i="4" s="1"/>
  <c r="C64" i="4"/>
  <c r="B22" i="4"/>
  <c r="B30" i="4" s="1"/>
  <c r="C39" i="4"/>
  <c r="C63" i="4"/>
  <c r="C62" i="4"/>
  <c r="C41" i="4"/>
  <c r="C40" i="4"/>
  <c r="C38" i="4"/>
  <c r="C37" i="4"/>
  <c r="C36" i="4"/>
  <c r="B43" i="4"/>
  <c r="F14" i="4"/>
  <c r="F12" i="4"/>
  <c r="F11" i="4"/>
  <c r="B16" i="4" s="1"/>
  <c r="B17" i="4"/>
  <c r="F8" i="4"/>
  <c r="B32" i="3"/>
  <c r="B31" i="3"/>
  <c r="F14" i="3"/>
  <c r="B18" i="4"/>
  <c r="C49" i="3"/>
  <c r="B54" i="3" s="1"/>
  <c r="C60" i="3"/>
  <c r="C59" i="3"/>
  <c r="C41" i="3"/>
  <c r="C40" i="3"/>
  <c r="C39" i="3"/>
  <c r="C38" i="3"/>
  <c r="C37" i="3"/>
  <c r="F12" i="3"/>
  <c r="F11" i="3"/>
  <c r="B17" i="3" s="1"/>
  <c r="F8" i="3"/>
  <c r="B19" i="3"/>
  <c r="B26" i="1"/>
  <c r="B27" i="1"/>
  <c r="C46" i="1"/>
  <c r="C44" i="1"/>
  <c r="C43" i="1"/>
  <c r="B52" i="1" s="1"/>
  <c r="C33" i="1"/>
  <c r="C34" i="1"/>
  <c r="C35" i="1"/>
  <c r="C36" i="1"/>
  <c r="C32" i="1"/>
  <c r="F11" i="1"/>
  <c r="F8" i="1"/>
  <c r="B14" i="1" s="1"/>
  <c r="F12" i="1"/>
  <c r="Q13" i="8"/>
  <c r="U2" i="8"/>
  <c r="Q17" i="8"/>
  <c r="Q14" i="8"/>
  <c r="Q15" i="8"/>
  <c r="Q16" i="8"/>
  <c r="H13" i="8" l="1"/>
  <c r="H14" i="8"/>
  <c r="H4" i="8"/>
  <c r="H15" i="8"/>
  <c r="H16" i="8"/>
  <c r="H17" i="8"/>
  <c r="B18" i="3"/>
  <c r="B15" i="1"/>
  <c r="B43" i="3"/>
  <c r="B76" i="3" s="1"/>
  <c r="B75" i="4"/>
  <c r="B15" i="7"/>
  <c r="B38" i="1"/>
  <c r="B57" i="1" s="1"/>
  <c r="B70" i="3"/>
  <c r="B40" i="7"/>
  <c r="B80" i="4"/>
  <c r="B79" i="4"/>
  <c r="B31" i="4"/>
  <c r="Q7" i="8"/>
  <c r="Q9" i="8"/>
  <c r="Q5" i="8"/>
  <c r="Q10" i="8"/>
  <c r="Q12" i="8"/>
  <c r="Q6" i="8"/>
  <c r="Q11" i="8"/>
  <c r="Q8" i="8"/>
  <c r="B22" i="7" l="1"/>
  <c r="B47" i="7"/>
  <c r="B45" i="7"/>
  <c r="C56" i="7"/>
  <c r="B56" i="7" s="1"/>
  <c r="B44" i="7"/>
  <c r="H10" i="8"/>
  <c r="B58" i="1"/>
  <c r="B75" i="3"/>
  <c r="H11" i="8"/>
  <c r="C58" i="7"/>
  <c r="B58" i="7" s="1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66" i="7"/>
  <c r="B65" i="7"/>
  <c r="B28" i="7"/>
  <c r="B61" i="7"/>
</calcChain>
</file>

<file path=xl/sharedStrings.xml><?xml version="1.0" encoding="utf-8"?>
<sst xmlns="http://schemas.openxmlformats.org/spreadsheetml/2006/main" count="492" uniqueCount="178">
  <si>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</si>
  <si>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</si>
  <si>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</si>
  <si>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</si>
  <si>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</si>
  <si>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</si>
  <si>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</si>
  <si>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</si>
  <si>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</si>
  <si>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</si>
  <si>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</si>
  <si>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</si>
  <si>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</si>
  <si>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</si>
  <si>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</si>
  <si>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</si>
  <si>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</si>
  <si>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</si>
  <si>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</si>
  <si>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</si>
  <si>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</si>
  <si>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</si>
  <si>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</si>
  <si>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</si>
  <si>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</si>
  <si>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</si>
  <si>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</si>
  <si>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</si>
  <si>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</si>
  <si>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</si>
  <si>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</si>
  <si>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</si>
  <si>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</si>
  <si>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</si>
  <si>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</si>
  <si>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</si>
  <si>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</si>
  <si>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</si>
  <si>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</si>
  <si>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</si>
  <si>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</si>
  <si>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</si>
  <si>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</si>
  <si>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</si>
  <si>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</si>
  <si>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</si>
  <si>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</si>
  <si>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</si>
  <si>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</si>
  <si>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</si>
  <si>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</si>
  <si>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</si>
  <si>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</si>
  <si>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</si>
  <si>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</si>
  <si>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</si>
  <si>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</si>
  <si>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</si>
  <si>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</si>
  <si>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</si>
  <si>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</si>
  <si>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</si>
  <si>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</si>
  <si>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</si>
  <si>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Gehalt Intel pro Jahr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</si>
  <si>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</si>
  <si>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</si>
  <si>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</si>
  <si>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</si>
  <si>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</si>
  <si>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</si>
  <si>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</si>
  <si>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</si>
  <si>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</si>
  <si>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</si>
  <si>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</si>
  <si>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</si>
  <si>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</si>
  <si>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</si>
  <si>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</si>
  <si>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</si>
  <si>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</si>
  <si>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</si>
  <si>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</si>
  <si>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</si>
  <si>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</si>
  <si>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</si>
  <si>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</si>
  <si>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</si>
  <si>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Nettogehalt Intel 2017</t>
  </si>
  <si>
    <t>Nettogehalt Matheplus 2017</t>
  </si>
  <si>
    <t>Netto Gesamt 2017</t>
  </si>
  <si>
    <t>Kostenaufstellung 2018</t>
  </si>
  <si>
    <t>Haushaltsversicherung/Nachtrag private Unfall</t>
  </si>
  <si>
    <t>ab 1.3.2018 gebündelt Haushalt und private Unfall bei Allianz 306,34 ab 1.3.2019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</si>
  <si>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</si>
  <si>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</si>
  <si>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</si>
  <si>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</si>
  <si>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</si>
  <si>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</si>
  <si>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</si>
  <si>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</si>
  <si>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</si>
  <si>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</si>
  <si>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</si>
  <si>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</si>
  <si>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</si>
  <si>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</si>
  <si>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</si>
  <si>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</si>
  <si>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</si>
  <si>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</si>
  <si>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</si>
  <si>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</si>
  <si>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</si>
  <si>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</si>
  <si>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</si>
  <si>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</si>
  <si>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</si>
  <si>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</si>
  <si>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Nettogehalt Intel 2018</t>
  </si>
  <si>
    <t>Nettogehalt Matheplus 2018</t>
  </si>
  <si>
    <t>Netto Gesamt 2018</t>
  </si>
  <si>
    <t>Haushaltsversicherung/private Unfallversicherung</t>
  </si>
  <si>
    <t>KFZ-Teilkasko (inkl motorbezogene Steuer)</t>
  </si>
  <si>
    <t>Gesamtkosten 2019</t>
  </si>
  <si>
    <t>Fixkosten 2019 (ohne Invest)</t>
  </si>
  <si>
    <t>Nettogehalt Intel 2019</t>
  </si>
  <si>
    <t>Nettogehalt Matheplus 2019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</si>
  <si>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</si>
  <si>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</si>
  <si>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</si>
  <si>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</si>
  <si>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</si>
  <si>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</si>
  <si>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</si>
  <si>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</si>
  <si>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</si>
  <si>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</si>
  <si>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</si>
  <si>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</si>
  <si>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</si>
  <si>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</si>
  <si>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</si>
  <si>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</si>
  <si>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</si>
  <si>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</si>
  <si>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</si>
  <si>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</si>
  <si>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</si>
  <si>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</si>
  <si>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</si>
  <si>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</si>
  <si>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</si>
  <si>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Netto Gesamt 2019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</si>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</sst>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21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2">
    <xf numFmtId="0" fontId="0" fillId="0" borderId="0"/>
    <xf numFmtId="0" fontId="6" fillId="7" borderId="0" applyNumberFormat="0" applyBorder="0" applyAlignment="0" applyProtection="0"/>
    <xf numFmtId="0" fontId="7" fillId="8" borderId="0" applyNumberFormat="0" applyBorder="0" applyAlignment="0" applyProtection="0"/>
    <xf numFmtId="0" fontId="8" fillId="9" borderId="0" applyNumberFormat="0" applyBorder="0" applyAlignment="0" applyProtection="0"/>
    <xf numFmtId="0" fontId="9" fillId="10" borderId="2" applyNumberFormat="0" applyAlignment="0" applyProtection="0"/>
    <xf numFmtId="0" fontId="10" fillId="10" borderId="1" applyNumberFormat="0" applyAlignment="0" applyProtection="0"/>
    <xf numFmtId="0" fontId="15" fillId="11" borderId="0" applyNumberFormat="0" applyBorder="0" applyAlignment="0" applyProtection="0"/>
    <xf numFmtId="0" fontId="13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3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165" fontId="14" fillId="18" borderId="0"/>
    <xf numFmtId="165" fontId="14" fillId="12" borderId="0"/>
    <xf numFmtId="165" fontId="14" fillId="16" borderId="0"/>
    <xf numFmtId="0" fontId="13" fillId="19" borderId="0" applyNumberFormat="0" applyBorder="0" applyAlignment="0" applyProtection="0"/>
    <xf numFmtId="165" fontId="14" fillId="19" borderId="0"/>
    <xf numFmtId="165" fontId="16" fillId="17" borderId="0"/>
    <xf numFmtId="165" fontId="16" fillId="13" borderId="0"/>
    <xf numFmtId="165" fontId="16" fillId="11" borderId="0"/>
    <xf numFmtId="165" fontId="16" fillId="15" borderId="0"/>
    <xf numFmtId="165" fontId="16" fillId="14" borderId="0"/>
    <xf numFmtId="165" fontId="14" fillId="20" borderId="0"/>
    <xf numFmtId="0" fontId="13" fillId="21" borderId="0" applyNumberFormat="0" applyBorder="0" applyAlignment="0" applyProtection="0"/>
    <xf numFmtId="165" fontId="14" fillId="21" borderId="0"/>
    <xf numFmtId="165" fontId="14" fillId="22" borderId="0"/>
    <xf numFmtId="0" fontId="13" fillId="23" borderId="0" applyNumberFormat="0" applyBorder="0" applyAlignment="0" applyProtection="0"/>
    <xf numFmtId="165" fontId="14" fillId="23" borderId="0"/>
    <xf numFmtId="0" fontId="13" fillId="24" borderId="0" applyNumberFormat="0" applyBorder="0" applyAlignment="0" applyProtection="0"/>
    <xf numFmtId="165" fontId="14" fillId="24" borderId="0"/>
  </cellStyleXfs>
  <cellXfs count="112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7" borderId="0" xfId="1"/>
    <xf numFmtId="0" fontId="10" fillId="10" borderId="1" xfId="5"/>
    <xf numFmtId="0" fontId="8" fillId="9" borderId="0" xfId="3"/>
    <xf numFmtId="0" fontId="3" fillId="0" borderId="3" xfId="0" applyFont="1" applyBorder="1"/>
    <xf numFmtId="0" fontId="0" fillId="0" borderId="4" xfId="0" applyBorder="1"/>
    <xf numFmtId="0" fontId="6" fillId="7" borderId="5" xfId="1" applyBorder="1"/>
    <xf numFmtId="0" fontId="7" fillId="8" borderId="5" xfId="2" applyBorder="1"/>
    <xf numFmtId="14" fontId="6" fillId="7" borderId="0" xfId="1" applyNumberFormat="1" applyAlignment="1">
      <alignment horizontal="left"/>
    </xf>
    <xf numFmtId="0" fontId="6" fillId="7" borderId="0" xfId="1" applyAlignment="1">
      <alignment horizontal="left"/>
    </xf>
    <xf numFmtId="164" fontId="6" fillId="7" borderId="0" xfId="1" applyNumberFormat="1"/>
    <xf numFmtId="164" fontId="10" fillId="10" borderId="1" xfId="5" applyNumberFormat="1"/>
    <xf numFmtId="0" fontId="9" fillId="10" borderId="2" xfId="4"/>
    <xf numFmtId="164" fontId="9" fillId="10" borderId="2" xfId="4" applyNumberFormat="1"/>
    <xf numFmtId="0" fontId="6" fillId="7" borderId="6" xfId="1" applyBorder="1"/>
    <xf numFmtId="0" fontId="7" fillId="8" borderId="6" xfId="2" applyBorder="1"/>
    <xf numFmtId="0" fontId="8" fillId="9" borderId="7" xfId="3" applyBorder="1"/>
    <xf numFmtId="0" fontId="8" fillId="9" borderId="8" xfId="3" applyBorder="1"/>
    <xf numFmtId="164" fontId="8" fillId="9" borderId="0" xfId="3" applyNumberFormat="1"/>
    <xf numFmtId="0" fontId="8" fillId="9" borderId="0" xfId="3" applyAlignment="1">
      <alignment horizontal="left"/>
    </xf>
    <xf numFmtId="14" fontId="10" fillId="10" borderId="1" xfId="5" applyNumberFormat="1" applyAlignment="1">
      <alignment horizontal="left"/>
    </xf>
    <xf numFmtId="0" fontId="10" fillId="10" borderId="1" xfId="5" applyAlignment="1">
      <alignment horizontal="left"/>
    </xf>
    <xf numFmtId="0" fontId="3" fillId="0" borderId="9" xfId="0" applyFont="1" applyBorder="1"/>
    <xf numFmtId="0" fontId="0" fillId="0" borderId="10" xfId="0" applyBorder="1"/>
    <xf numFmtId="0" fontId="6" fillId="7" borderId="11" xfId="1" applyBorder="1"/>
    <xf numFmtId="0" fontId="6" fillId="7" borderId="12" xfId="1" applyBorder="1"/>
    <xf numFmtId="0" fontId="7" fillId="8" borderId="11" xfId="2" applyBorder="1"/>
    <xf numFmtId="0" fontId="7" fillId="8" borderId="12" xfId="2" applyBorder="1"/>
    <xf numFmtId="0" fontId="8" fillId="9" borderId="11" xfId="3" applyBorder="1"/>
    <xf numFmtId="0" fontId="8" fillId="9" borderId="12" xfId="3" applyBorder="1"/>
    <xf numFmtId="0" fontId="11" fillId="0" borderId="0" xfId="0" applyFont="1"/>
    <xf numFmtId="164" fontId="11" fillId="0" borderId="0" xfId="0" applyNumberFormat="1" applyFont="1"/>
    <xf numFmtId="0" fontId="11" fillId="6" borderId="0" xfId="0" applyFont="1" applyFill="1"/>
    <xf numFmtId="164" fontId="11" fillId="6" borderId="0" xfId="0" applyNumberFormat="1" applyFont="1" applyFill="1"/>
    <xf numFmtId="0" fontId="11" fillId="5" borderId="0" xfId="0" applyFont="1" applyFill="1"/>
    <xf numFmtId="164" fontId="11" fillId="5" borderId="0" xfId="0" applyNumberFormat="1" applyFont="1" applyFill="1"/>
    <xf numFmtId="164" fontId="6" fillId="7" borderId="0" xfId="1" applyNumberFormat="1" applyAlignment="1">
      <alignment horizontal="right"/>
    </xf>
    <xf numFmtId="0" fontId="12" fillId="7" borderId="0" xfId="1" applyFont="1"/>
    <xf numFmtId="165" fontId="12" fillId="7" borderId="0" xfId="1" applyNumberFormat="1" applyFont="1"/>
    <xf numFmtId="166" fontId="0" fillId="0" borderId="0" xfId="0" applyNumberFormat="1"/>
    <xf numFmtId="165" fontId="0" fillId="0" borderId="0" xfId="0" applyNumberFormat="1"/>
    <xf numFmtId="0" fontId="11" fillId="0" borderId="0" xfId="0" applyFont="1" applyAlignment="1">
      <alignment horizontal="center"/>
    </xf>
    <xf numFmtId="0" fontId="11" fillId="0" borderId="9" xfId="0" applyFont="1" applyBorder="1" applyAlignment="1">
      <alignment horizontal="center"/>
    </xf>
    <xf numFmtId="165" fontId="14" fillId="19" borderId="0" xfId="18"/>
    <xf numFmtId="165" fontId="14" fillId="18" borderId="0" xfId="14"/>
    <xf numFmtId="165" fontId="14" fillId="12" borderId="0" xfId="15"/>
    <xf numFmtId="165" fontId="14" fillId="16" borderId="0" xfId="16"/>
    <xf numFmtId="165" fontId="16" fillId="17" borderId="0" xfId="19"/>
    <xf numFmtId="0" fontId="17" fillId="17" borderId="1" xfId="12" applyFont="1" applyBorder="1"/>
    <xf numFmtId="0" fontId="17" fillId="11" borderId="0" xfId="6" applyFont="1"/>
    <xf numFmtId="0" fontId="17" fillId="12" borderId="0" xfId="7" applyFont="1"/>
    <xf numFmtId="0" fontId="17" fillId="13" borderId="0" xfId="8" applyFont="1"/>
    <xf numFmtId="0" fontId="17" fillId="14" borderId="0" xfId="9" applyFont="1"/>
    <xf numFmtId="0" fontId="17" fillId="15" borderId="0" xfId="10" applyFont="1"/>
    <xf numFmtId="0" fontId="17" fillId="16" borderId="0" xfId="11" applyFont="1"/>
    <xf numFmtId="0" fontId="17" fillId="19" borderId="0" xfId="17" applyFont="1"/>
    <xf numFmtId="165" fontId="16" fillId="11" borderId="0" xfId="21"/>
    <xf numFmtId="165" fontId="16" fillId="13" borderId="0" xfId="20"/>
    <xf numFmtId="165" fontId="16" fillId="15" borderId="0" xfId="22"/>
    <xf numFmtId="165" fontId="16" fillId="14" borderId="0" xfId="23"/>
    <xf numFmtId="0" fontId="19" fillId="0" borderId="0" xfId="0" applyFont="1"/>
    <xf numFmtId="165" fontId="14" fillId="20" borderId="0" xfId="24"/>
    <xf numFmtId="0" fontId="0" fillId="20" borderId="0" xfId="0" applyFill="1"/>
    <xf numFmtId="0" fontId="13" fillId="21" borderId="0" xfId="25"/>
    <xf numFmtId="165" fontId="14" fillId="22" borderId="0" xfId="18" applyFill="1"/>
    <xf numFmtId="0" fontId="0" fillId="22" borderId="0" xfId="0" applyFill="1"/>
    <xf numFmtId="165" fontId="14" fillId="23" borderId="0" xfId="29"/>
    <xf numFmtId="0" fontId="13" fillId="23" borderId="0" xfId="28"/>
    <xf numFmtId="165" fontId="14" fillId="24" borderId="0" xfId="30" applyNumberFormat="1" applyFont="1"/>
    <xf numFmtId="0" fontId="13" fillId="24" borderId="0" xfId="30"/>
    <xf numFmtId="165" fontId="14" fillId="24" borderId="0" xfId="31"/>
    <xf numFmtId="0" fontId="0" fillId="24" borderId="0" xfId="30" applyFont="1"/>
    <xf numFmtId="0" fontId="0" fillId="23" borderId="0" xfId="28" applyFont="1"/>
    <xf numFmtId="165" fontId="14" fillId="21" borderId="0" xfId="26"/>
    <xf numFmtId="165" fontId="14" fillId="22" borderId="0" xfId="27"/>
    <xf numFmtId="0" fontId="20" fillId="10" borderId="1" xfId="5" applyFont="1"/>
    <xf numFmtId="167" fontId="20" fillId="10" borderId="1" xfId="5" applyNumberFormat="1" applyFont="1"/>
    <xf numFmtId="165" fontId="20" fillId="10" borderId="1" xfId="5" applyNumberFormat="1" applyFont="1"/>
    <xf numFmtId="0" fontId="13" fillId="18" borderId="12" xfId="13" applyBorder="1"/>
    <xf numFmtId="167" fontId="13" fillId="18" borderId="11" xfId="13" applyNumberFormat="1" applyBorder="1"/>
    <xf numFmtId="167" fontId="15" fillId="17" borderId="11" xfId="12" applyNumberFormat="1" applyBorder="1"/>
    <xf numFmtId="167" fontId="15" fillId="11" borderId="11" xfId="6" applyNumberFormat="1" applyBorder="1"/>
    <xf numFmtId="167" fontId="13" fillId="12" borderId="11" xfId="7" applyNumberFormat="1" applyBorder="1"/>
    <xf numFmtId="167" fontId="15" fillId="13" borderId="11" xfId="8" applyNumberFormat="1" applyBorder="1"/>
    <xf numFmtId="167" fontId="15" fillId="14" borderId="11" xfId="9" applyNumberFormat="1" applyBorder="1"/>
    <xf numFmtId="167" fontId="13" fillId="16" borderId="11" xfId="11" applyNumberFormat="1" applyBorder="1"/>
    <xf numFmtId="167" fontId="13" fillId="19" borderId="11" xfId="17" applyNumberFormat="1" applyBorder="1"/>
    <xf numFmtId="167" fontId="13" fillId="21" borderId="11" xfId="25" applyNumberFormat="1" applyBorder="1"/>
    <xf numFmtId="167" fontId="13" fillId="23" borderId="11" xfId="28" applyNumberFormat="1" applyBorder="1"/>
    <xf numFmtId="167" fontId="13" fillId="24" borderId="11" xfId="30" applyNumberFormat="1" applyBorder="1"/>
    <xf numFmtId="167" fontId="14" fillId="20" borderId="11" xfId="13" applyNumberFormat="1" applyFont="1" applyFill="1" applyBorder="1"/>
    <xf numFmtId="167" fontId="14" fillId="25" borderId="11" xfId="13" applyNumberFormat="1" applyFont="1" applyFill="1" applyBorder="1"/>
    <xf numFmtId="165" fontId="15" fillId="15" borderId="0" xfId="10" applyNumberFormat="1"/>
    <xf numFmtId="164" fontId="6" fillId="26" borderId="0" xfId="1" applyNumberFormat="1" applyFill="1"/>
    <xf numFmtId="0" fontId="6" fillId="26" borderId="0" xfId="1" applyFill="1"/>
    <xf numFmtId="14" fontId="6" fillId="26" borderId="0" xfId="1" applyNumberFormat="1" applyFill="1" applyAlignment="1">
      <alignment horizontal="left"/>
    </xf>
    <xf numFmtId="0" fontId="6" fillId="26" borderId="0" xfId="1" applyFill="1" applyAlignment="1">
      <alignment horizontal="left"/>
    </xf>
    <xf numFmtId="0" fontId="7" fillId="8" borderId="0" xfId="2"/>
    <xf numFmtId="14" fontId="7" fillId="8" borderId="0" xfId="2" applyNumberFormat="1" applyAlignment="1">
      <alignment horizontal="left"/>
    </xf>
    <xf numFmtId="0" fontId="7" fillId="8" borderId="0" xfId="2" applyAlignment="1">
      <alignment horizontal="left"/>
    </xf>
    <xf numFmtId="164" fontId="7" fillId="8" borderId="0" xfId="2" applyNumberFormat="1"/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</cellXfs>
  <cellStyles count="32">
    <cellStyle name="20 % - Akzent2" xfId="30" builtinId="34"/>
    <cellStyle name="20 % - Akzent3" xfId="17" builtinId="38"/>
    <cellStyle name="20 % - Akzent4" xfId="11" builtinId="42"/>
    <cellStyle name="20 % - Akzent6" xfId="13" builtinId="50"/>
    <cellStyle name="60 % - Akzent1" xfId="7" builtinId="32"/>
    <cellStyle name="60 % - Akzent2" xfId="25" builtinId="36"/>
    <cellStyle name="60 % - Akzent4" xfId="28" builtinId="44"/>
    <cellStyle name="Akzent1" xfId="6" builtinId="29"/>
    <cellStyle name="Akzent2" xfId="8" builtinId="33"/>
    <cellStyle name="Akzent3" xfId="9" builtinId="37"/>
    <cellStyle name="Akzent4" xfId="10" builtinId="41"/>
    <cellStyle name="Akzent6" xfId="12" builtinId="49"/>
    <cellStyle name="Apotheke, Wahlärzte" xfId="29" xr:uid="{DB0A4486-B5FD-44C5-BE2A-79565BF20496}"/>
    <cellStyle name="Ausgabe" xfId="4" builtinId="21"/>
    <cellStyle name="Auto" xfId="27" xr:uid="{DE33844E-46BA-4458-84D2-C3C38BE90130}"/>
    <cellStyle name="Berechnung" xfId="5" builtinId="22"/>
    <cellStyle name="Elektronik" xfId="23" xr:uid="{00000000-0005-0000-0000-00000E000000}"/>
    <cellStyle name="Essen Arbeit" xfId="21" xr:uid="{00000000-0005-0000-0000-00000F000000}"/>
    <cellStyle name="Essen bestellt" xfId="14" xr:uid="{00000000-0005-0000-0000-000019000000}"/>
    <cellStyle name="Essen Privat Restaurant" xfId="15" xr:uid="{00000000-0005-0000-0000-000010000000}"/>
    <cellStyle name="Fortgehen" xfId="20" xr:uid="{00000000-0005-0000-0000-000011000000}"/>
    <cellStyle name="Friseur" xfId="16" xr:uid="{00000000-0005-0000-0000-000012000000}"/>
    <cellStyle name="Geschenke" xfId="31" xr:uid="{EC121EDD-E8C2-433E-93F3-CC00FE862B30}"/>
    <cellStyle name="Gut" xfId="1" builtinId="26"/>
    <cellStyle name="Kleidung" xfId="22" xr:uid="{00000000-0005-0000-0000-000014000000}"/>
    <cellStyle name="Lebensmittel" xfId="19" xr:uid="{00000000-0005-0000-0000-000015000000}"/>
    <cellStyle name="Neutral" xfId="3" builtinId="28"/>
    <cellStyle name="Schlecht" xfId="2" builtinId="27"/>
    <cellStyle name="Sport" xfId="24" xr:uid="{DD577DE9-DD52-406F-8FF0-614F20475607}"/>
    <cellStyle name="Standard" xfId="0" builtinId="0"/>
    <cellStyle name="Tanken" xfId="18" xr:uid="{00000000-0005-0000-0000-00001A000000}"/>
    <cellStyle name="Urlaub" xfId="26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0"/>
  <sheetViews>
    <sheetView topLeftCell="A41" zoomScale="170" zoomScaleNormal="170" workbookViewId="0">
      <selection activeCell="F42" sqref="F4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9" t="s">
        <v>0</v>
      </c>
      <c r="B1" s="109"/>
      <c r="C1" s="109"/>
      <c r="D1" s="109"/>
      <c r="E1" s="109"/>
      <c r="F1" s="109"/>
      <c r="G1" s="3"/>
      <c r="H1" s="3"/>
      <c r="I1" s="3"/>
      <c r="J1" s="3"/>
      <c r="K1" s="3"/>
      <c r="L1" s="3"/>
    </row>
    <row r="2" spans="1:12" ht="15" customHeight="1" x14ac:dyDescent="0.45">
      <c r="A2" s="109"/>
      <c r="B2" s="109"/>
      <c r="C2" s="109"/>
      <c r="D2" s="109"/>
      <c r="E2" s="109"/>
      <c r="F2" s="109"/>
      <c r="G2" s="3"/>
      <c r="H2" s="3"/>
      <c r="I2" s="3"/>
      <c r="J2" s="3"/>
      <c r="K2" s="3"/>
      <c r="L2" s="3"/>
    </row>
    <row r="3" spans="1:12" ht="23.25" x14ac:dyDescent="0.25">
      <c r="A3" s="108" t="s">
        <v>1</v>
      </c>
      <c r="B3" s="108"/>
      <c r="C3" s="108"/>
      <c r="D3" s="108"/>
      <c r="E3" s="108"/>
      <c r="F3" s="10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8</v>
      </c>
      <c r="B5" s="8" t="s">
        <v>9</v>
      </c>
      <c r="C5" s="15">
        <v>42430</v>
      </c>
      <c r="D5" s="16" t="s">
        <v>10</v>
      </c>
      <c r="E5" s="17"/>
      <c r="F5" s="17">
        <v>109.28</v>
      </c>
    </row>
    <row r="6" spans="1:12" x14ac:dyDescent="0.25">
      <c r="A6" s="8" t="s">
        <v>11</v>
      </c>
      <c r="B6" s="8" t="s">
        <v>12</v>
      </c>
      <c r="C6" s="15" t="s">
        <v>13</v>
      </c>
      <c r="D6" s="16" t="s">
        <v>14</v>
      </c>
      <c r="E6" s="17"/>
      <c r="F6" s="17">
        <v>197</v>
      </c>
    </row>
    <row r="7" spans="1:12" x14ac:dyDescent="0.25">
      <c r="A7" s="8" t="s">
        <v>15</v>
      </c>
      <c r="B7" s="8" t="s">
        <v>16</v>
      </c>
      <c r="C7" s="15" t="s">
        <v>13</v>
      </c>
      <c r="D7" s="16" t="s">
        <v>17</v>
      </c>
      <c r="E7" s="17"/>
      <c r="F7" s="17">
        <v>195.14</v>
      </c>
    </row>
    <row r="8" spans="1:12" x14ac:dyDescent="0.25">
      <c r="A8" s="10" t="s">
        <v>18</v>
      </c>
      <c r="B8" s="10" t="s">
        <v>19</v>
      </c>
      <c r="C8" s="26" t="s">
        <v>20</v>
      </c>
      <c r="D8" s="26" t="s">
        <v>21</v>
      </c>
      <c r="E8" s="25">
        <v>16.059999999999999</v>
      </c>
      <c r="F8" s="25">
        <f>12*E8</f>
        <v>192.71999999999997</v>
      </c>
    </row>
    <row r="9" spans="1:12" x14ac:dyDescent="0.25">
      <c r="A9" s="8" t="s">
        <v>22</v>
      </c>
      <c r="B9" s="8" t="s">
        <v>23</v>
      </c>
      <c r="C9" s="15" t="s">
        <v>13</v>
      </c>
      <c r="D9" s="16">
        <v>180885569</v>
      </c>
      <c r="E9" s="17"/>
      <c r="F9" s="17">
        <v>306.42</v>
      </c>
    </row>
    <row r="10" spans="1:12" x14ac:dyDescent="0.25">
      <c r="A10" s="8" t="s">
        <v>24</v>
      </c>
      <c r="B10" s="8" t="s">
        <v>25</v>
      </c>
      <c r="C10" s="15">
        <v>42675</v>
      </c>
      <c r="D10" s="16" t="s">
        <v>26</v>
      </c>
      <c r="E10" s="17"/>
      <c r="F10" s="17">
        <v>1202.31</v>
      </c>
    </row>
    <row r="11" spans="1:12" x14ac:dyDescent="0.25">
      <c r="A11" s="10" t="s">
        <v>27</v>
      </c>
      <c r="B11" s="10" t="s">
        <v>23</v>
      </c>
      <c r="C11" s="10" t="s">
        <v>20</v>
      </c>
      <c r="D11" s="10" t="s">
        <v>28</v>
      </c>
      <c r="E11" s="10">
        <v>112.49</v>
      </c>
      <c r="F11" s="10">
        <f>12*E11</f>
        <v>1349.8799999999999</v>
      </c>
    </row>
    <row r="12" spans="1:12" x14ac:dyDescent="0.25">
      <c r="A12" s="10" t="s">
        <v>29</v>
      </c>
      <c r="B12" s="10" t="s">
        <v>30</v>
      </c>
      <c r="C12" s="10" t="s">
        <v>20</v>
      </c>
      <c r="D12" s="10" t="s">
        <v>31</v>
      </c>
      <c r="E12" s="10">
        <v>900</v>
      </c>
      <c r="F12" s="10">
        <f>12*E12</f>
        <v>10800</v>
      </c>
    </row>
    <row r="14" spans="1:12" ht="15.75" x14ac:dyDescent="0.25">
      <c r="A14" s="4" t="s">
        <v>32</v>
      </c>
      <c r="B14" s="5">
        <f>SUM(F5:F12)</f>
        <v>14352.75</v>
      </c>
    </row>
    <row r="15" spans="1:12" ht="15.75" x14ac:dyDescent="0.25">
      <c r="A15" s="4" t="s">
        <v>33</v>
      </c>
      <c r="B15" s="5">
        <f>SUM(F5:F10)</f>
        <v>2202.87</v>
      </c>
    </row>
    <row r="17" spans="1:5" ht="23.25" x14ac:dyDescent="0.35">
      <c r="A17" s="108" t="s">
        <v>34</v>
      </c>
      <c r="B17" s="108"/>
      <c r="D17" s="11" t="s">
        <v>35</v>
      </c>
      <c r="E17" s="12"/>
    </row>
    <row r="18" spans="1:5" ht="18.75" x14ac:dyDescent="0.3">
      <c r="A18" s="1" t="s">
        <v>36</v>
      </c>
      <c r="B18" s="1" t="s">
        <v>7</v>
      </c>
      <c r="D18" s="13"/>
      <c r="E18" s="21" t="s">
        <v>37</v>
      </c>
    </row>
    <row r="19" spans="1:5" x14ac:dyDescent="0.25">
      <c r="A19" s="10" t="s">
        <v>38</v>
      </c>
      <c r="B19" s="25">
        <v>400</v>
      </c>
      <c r="D19" s="14"/>
      <c r="E19" s="22" t="s">
        <v>39</v>
      </c>
    </row>
    <row r="20" spans="1:5" x14ac:dyDescent="0.25">
      <c r="A20" s="10" t="s">
        <v>40</v>
      </c>
      <c r="B20" s="25">
        <v>1350</v>
      </c>
      <c r="D20" s="23"/>
      <c r="E20" s="24" t="s">
        <v>41</v>
      </c>
    </row>
    <row r="21" spans="1:5" x14ac:dyDescent="0.25">
      <c r="A21" s="8" t="s">
        <v>42</v>
      </c>
      <c r="B21" s="17">
        <v>80.599999999999994</v>
      </c>
    </row>
    <row r="22" spans="1:5" x14ac:dyDescent="0.25">
      <c r="A22" s="8" t="s">
        <v>43</v>
      </c>
      <c r="B22" s="17">
        <v>50</v>
      </c>
    </row>
    <row r="23" spans="1:5" x14ac:dyDescent="0.25">
      <c r="A23" s="8" t="s">
        <v>44</v>
      </c>
      <c r="B23" s="17">
        <v>85.7</v>
      </c>
    </row>
    <row r="24" spans="1:5" x14ac:dyDescent="0.25">
      <c r="A24" s="8" t="s">
        <v>45</v>
      </c>
      <c r="B24" s="17">
        <v>90</v>
      </c>
    </row>
    <row r="25" spans="1:5" x14ac:dyDescent="0.25">
      <c r="B25" s="2"/>
    </row>
    <row r="26" spans="1:5" ht="15.75" x14ac:dyDescent="0.25">
      <c r="A26" s="4" t="s">
        <v>32</v>
      </c>
      <c r="B26" s="5">
        <f>SUM(B19:B24)</f>
        <v>2056.3000000000002</v>
      </c>
    </row>
    <row r="27" spans="1:5" ht="15.75" x14ac:dyDescent="0.25">
      <c r="A27" s="4" t="s">
        <v>46</v>
      </c>
      <c r="B27" s="5">
        <f>SUM(B19:B24)+F10</f>
        <v>3258.61</v>
      </c>
    </row>
    <row r="29" spans="1:5" x14ac:dyDescent="0.25">
      <c r="A29" s="108" t="s">
        <v>47</v>
      </c>
      <c r="B29" s="108"/>
      <c r="C29" s="108"/>
    </row>
    <row r="30" spans="1:5" x14ac:dyDescent="0.25">
      <c r="A30" s="108"/>
      <c r="B30" s="108"/>
      <c r="C30" s="108"/>
    </row>
    <row r="31" spans="1:5" ht="18.75" x14ac:dyDescent="0.3">
      <c r="A31" s="1" t="s">
        <v>36</v>
      </c>
      <c r="B31" s="1" t="s">
        <v>6</v>
      </c>
      <c r="C31" s="1" t="s">
        <v>7</v>
      </c>
    </row>
    <row r="32" spans="1:5" x14ac:dyDescent="0.25">
      <c r="A32" s="10" t="s">
        <v>48</v>
      </c>
      <c r="B32" s="25">
        <v>400</v>
      </c>
      <c r="C32" s="25">
        <f>12*B32</f>
        <v>4800</v>
      </c>
    </row>
    <row r="33" spans="1:3" x14ac:dyDescent="0.25">
      <c r="A33" s="10" t="s">
        <v>49</v>
      </c>
      <c r="B33" s="25">
        <v>124.21</v>
      </c>
      <c r="C33" s="25">
        <f t="shared" ref="C33:C36" si="0">12*B33</f>
        <v>1490.52</v>
      </c>
    </row>
    <row r="34" spans="1:3" x14ac:dyDescent="0.25">
      <c r="A34" s="10" t="s">
        <v>50</v>
      </c>
      <c r="B34" s="25">
        <v>45</v>
      </c>
      <c r="C34" s="25">
        <f t="shared" si="0"/>
        <v>540</v>
      </c>
    </row>
    <row r="35" spans="1:3" x14ac:dyDescent="0.25">
      <c r="A35" s="10" t="s">
        <v>51</v>
      </c>
      <c r="B35" s="25">
        <v>35</v>
      </c>
      <c r="C35" s="25">
        <f t="shared" si="0"/>
        <v>420</v>
      </c>
    </row>
    <row r="36" spans="1:3" x14ac:dyDescent="0.25">
      <c r="A36" s="10" t="s">
        <v>52</v>
      </c>
      <c r="B36" s="25">
        <v>41.15</v>
      </c>
      <c r="C36" s="25">
        <f t="shared" si="0"/>
        <v>493.79999999999995</v>
      </c>
    </row>
    <row r="37" spans="1:3" x14ac:dyDescent="0.25">
      <c r="B37" s="2"/>
      <c r="C37" s="2"/>
    </row>
    <row r="38" spans="1:3" ht="15.75" x14ac:dyDescent="0.25">
      <c r="A38" s="4" t="s">
        <v>32</v>
      </c>
      <c r="B38" s="5">
        <f>SUM(C32:C36)</f>
        <v>7744.3200000000006</v>
      </c>
      <c r="C38" s="2"/>
    </row>
    <row r="40" spans="1:3" x14ac:dyDescent="0.25">
      <c r="A40" s="108" t="s">
        <v>53</v>
      </c>
      <c r="B40" s="108"/>
      <c r="C40" s="108"/>
    </row>
    <row r="41" spans="1:3" x14ac:dyDescent="0.25">
      <c r="A41" s="108"/>
      <c r="B41" s="108"/>
      <c r="C41" s="108"/>
    </row>
    <row r="42" spans="1:3" ht="18.75" x14ac:dyDescent="0.3">
      <c r="A42" s="1" t="s">
        <v>36</v>
      </c>
      <c r="B42" s="1" t="s">
        <v>6</v>
      </c>
      <c r="C42" s="1" t="s">
        <v>7</v>
      </c>
    </row>
    <row r="43" spans="1:3" x14ac:dyDescent="0.25">
      <c r="A43" s="10" t="s">
        <v>54</v>
      </c>
      <c r="B43" s="25">
        <v>300</v>
      </c>
      <c r="C43" s="25">
        <f>12*B43</f>
        <v>3600</v>
      </c>
    </row>
    <row r="44" spans="1:3" x14ac:dyDescent="0.25">
      <c r="A44" s="10" t="s">
        <v>55</v>
      </c>
      <c r="B44" s="25">
        <v>12.7</v>
      </c>
      <c r="C44" s="25">
        <f>12*B44</f>
        <v>152.39999999999998</v>
      </c>
    </row>
    <row r="45" spans="1:3" x14ac:dyDescent="0.25">
      <c r="A45" s="8" t="s">
        <v>56</v>
      </c>
      <c r="B45" s="17"/>
      <c r="C45" s="17">
        <v>200</v>
      </c>
    </row>
    <row r="46" spans="1:3" x14ac:dyDescent="0.25">
      <c r="A46" s="10" t="s">
        <v>57</v>
      </c>
      <c r="B46" s="25">
        <v>20</v>
      </c>
      <c r="C46" s="25">
        <f>12*B46</f>
        <v>240</v>
      </c>
    </row>
    <row r="47" spans="1:3" x14ac:dyDescent="0.25">
      <c r="A47" s="10" t="s">
        <v>58</v>
      </c>
      <c r="B47" s="25"/>
      <c r="C47" s="25">
        <v>600</v>
      </c>
    </row>
    <row r="48" spans="1:3" x14ac:dyDescent="0.25">
      <c r="A48" s="10" t="s">
        <v>59</v>
      </c>
      <c r="B48" s="25"/>
      <c r="C48" s="25">
        <v>500</v>
      </c>
    </row>
    <row r="49" spans="1:3" x14ac:dyDescent="0.25">
      <c r="A49" s="10" t="s">
        <v>60</v>
      </c>
      <c r="B49" s="25"/>
      <c r="C49" s="25">
        <v>800</v>
      </c>
    </row>
    <row r="50" spans="1:3" x14ac:dyDescent="0.25">
      <c r="A50" s="10" t="s">
        <v>61</v>
      </c>
      <c r="B50" s="25"/>
      <c r="C50" s="25">
        <v>1000</v>
      </c>
    </row>
    <row r="51" spans="1:3" x14ac:dyDescent="0.25">
      <c r="B51" s="2"/>
      <c r="C51" s="2"/>
    </row>
    <row r="52" spans="1:3" ht="15.75" x14ac:dyDescent="0.25">
      <c r="A52" s="4" t="s">
        <v>32</v>
      </c>
      <c r="B52" s="5">
        <f>SUM(C43:C50)</f>
        <v>7092.4</v>
      </c>
      <c r="C52" s="2"/>
    </row>
    <row r="53" spans="1:3" ht="15.75" x14ac:dyDescent="0.25">
      <c r="A53" s="4"/>
      <c r="B53" s="4"/>
    </row>
    <row r="57" spans="1:3" x14ac:dyDescent="0.25">
      <c r="A57" s="9" t="s">
        <v>62</v>
      </c>
      <c r="B57" s="18">
        <f>B14+B26+B38+B52</f>
        <v>31245.769999999997</v>
      </c>
    </row>
    <row r="58" spans="1:3" x14ac:dyDescent="0.25">
      <c r="A58" s="9" t="s">
        <v>63</v>
      </c>
      <c r="B58" s="18">
        <f>B15+B26+B38+B52</f>
        <v>19095.89</v>
      </c>
    </row>
    <row r="59" spans="1:3" ht="18.75" x14ac:dyDescent="0.3">
      <c r="A59" s="6"/>
      <c r="B59" s="7"/>
    </row>
    <row r="60" spans="1:3" x14ac:dyDescent="0.25">
      <c r="A60" s="19" t="s">
        <v>64</v>
      </c>
      <c r="B60" s="20">
        <v>26000</v>
      </c>
    </row>
  </sheetData>
  <mergeCells count="5">
    <mergeCell ref="A40:C41"/>
    <mergeCell ref="A3:F3"/>
    <mergeCell ref="A1:F2"/>
    <mergeCell ref="A17:B17"/>
    <mergeCell ref="A29:C30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80"/>
  <sheetViews>
    <sheetView topLeftCell="A56" zoomScale="160" zoomScaleNormal="160" workbookViewId="0">
      <selection activeCell="B79" sqref="B79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9" t="s">
        <v>65</v>
      </c>
      <c r="B1" s="109"/>
      <c r="C1" s="109"/>
      <c r="D1" s="109"/>
      <c r="E1" s="109"/>
      <c r="F1" s="109"/>
      <c r="G1" s="3"/>
      <c r="H1" s="3"/>
      <c r="I1" s="3"/>
      <c r="J1" s="3"/>
      <c r="K1" s="3"/>
      <c r="L1" s="3"/>
    </row>
    <row r="2" spans="1:12" ht="15" customHeight="1" x14ac:dyDescent="0.45">
      <c r="A2" s="109"/>
      <c r="B2" s="109"/>
      <c r="C2" s="109"/>
      <c r="D2" s="109"/>
      <c r="E2" s="109"/>
      <c r="F2" s="109"/>
      <c r="G2" s="3"/>
      <c r="H2" s="3"/>
      <c r="I2" s="3"/>
      <c r="J2" s="3"/>
      <c r="K2" s="3"/>
      <c r="L2" s="3"/>
    </row>
    <row r="3" spans="1:12" ht="23.25" x14ac:dyDescent="0.25">
      <c r="A3" s="108" t="s">
        <v>1</v>
      </c>
      <c r="B3" s="108"/>
      <c r="C3" s="108"/>
      <c r="D3" s="108"/>
      <c r="E3" s="108"/>
      <c r="F3" s="10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8</v>
      </c>
      <c r="B5" s="8" t="s">
        <v>9</v>
      </c>
      <c r="C5" s="15">
        <v>42795</v>
      </c>
      <c r="D5" s="16" t="s">
        <v>10</v>
      </c>
      <c r="E5" s="17"/>
      <c r="F5" s="17">
        <v>110.8</v>
      </c>
    </row>
    <row r="6" spans="1:12" x14ac:dyDescent="0.25">
      <c r="A6" s="8" t="s">
        <v>11</v>
      </c>
      <c r="B6" s="8" t="s">
        <v>12</v>
      </c>
      <c r="C6" s="15" t="s">
        <v>13</v>
      </c>
      <c r="D6" s="16" t="s">
        <v>14</v>
      </c>
      <c r="E6" s="17"/>
      <c r="F6" s="17">
        <v>197</v>
      </c>
    </row>
    <row r="7" spans="1:12" x14ac:dyDescent="0.25">
      <c r="A7" s="8" t="s">
        <v>15</v>
      </c>
      <c r="B7" s="8" t="s">
        <v>16</v>
      </c>
      <c r="C7" s="15" t="s">
        <v>13</v>
      </c>
      <c r="D7" s="16" t="s">
        <v>17</v>
      </c>
      <c r="E7" s="17"/>
      <c r="F7" s="17">
        <v>202.99</v>
      </c>
    </row>
    <row r="8" spans="1:12" x14ac:dyDescent="0.25">
      <c r="A8" s="10" t="s">
        <v>18</v>
      </c>
      <c r="B8" s="10" t="s">
        <v>19</v>
      </c>
      <c r="C8" s="26" t="s">
        <v>20</v>
      </c>
      <c r="D8" s="26" t="s">
        <v>66</v>
      </c>
      <c r="E8" s="25">
        <v>16.329999999999998</v>
      </c>
      <c r="F8" s="25">
        <f>12*E8</f>
        <v>195.95999999999998</v>
      </c>
    </row>
    <row r="9" spans="1:12" x14ac:dyDescent="0.25">
      <c r="A9" s="8" t="s">
        <v>22</v>
      </c>
      <c r="B9" s="8" t="s">
        <v>23</v>
      </c>
      <c r="C9" s="15" t="s">
        <v>13</v>
      </c>
      <c r="D9" s="16">
        <v>180885569</v>
      </c>
      <c r="E9" s="17"/>
      <c r="F9" s="17">
        <v>312.54000000000002</v>
      </c>
    </row>
    <row r="10" spans="1:12" x14ac:dyDescent="0.25">
      <c r="A10" s="8" t="s">
        <v>24</v>
      </c>
      <c r="B10" s="8" t="s">
        <v>25</v>
      </c>
      <c r="C10" s="15">
        <v>43040</v>
      </c>
      <c r="D10" s="16" t="s">
        <v>26</v>
      </c>
      <c r="E10" s="17"/>
      <c r="F10" s="17">
        <v>1202.31</v>
      </c>
    </row>
    <row r="11" spans="1:12" x14ac:dyDescent="0.25">
      <c r="A11" s="10" t="s">
        <v>27</v>
      </c>
      <c r="B11" s="10" t="s">
        <v>23</v>
      </c>
      <c r="C11" s="26" t="s">
        <v>20</v>
      </c>
      <c r="D11" s="26" t="s">
        <v>28</v>
      </c>
      <c r="E11" s="25">
        <v>112.49</v>
      </c>
      <c r="F11" s="25">
        <f>12*E11</f>
        <v>1349.8799999999999</v>
      </c>
    </row>
    <row r="12" spans="1:12" x14ac:dyDescent="0.25">
      <c r="A12" s="10" t="s">
        <v>29</v>
      </c>
      <c r="B12" s="10" t="s">
        <v>30</v>
      </c>
      <c r="C12" s="26" t="s">
        <v>20</v>
      </c>
      <c r="D12" s="26" t="s">
        <v>31</v>
      </c>
      <c r="E12" s="25">
        <v>900</v>
      </c>
      <c r="F12" s="25">
        <f>12*E12</f>
        <v>10800</v>
      </c>
    </row>
    <row r="13" spans="1:12" x14ac:dyDescent="0.25">
      <c r="A13" s="10" t="s">
        <v>67</v>
      </c>
      <c r="B13" s="10" t="s">
        <v>68</v>
      </c>
      <c r="C13" s="26" t="s">
        <v>69</v>
      </c>
      <c r="D13" s="26"/>
      <c r="E13" s="25"/>
      <c r="F13" s="25">
        <v>89.6</v>
      </c>
    </row>
    <row r="14" spans="1:12" x14ac:dyDescent="0.25">
      <c r="A14" s="10" t="s">
        <v>70</v>
      </c>
      <c r="B14" s="10" t="s">
        <v>68</v>
      </c>
      <c r="C14" s="26" t="s">
        <v>20</v>
      </c>
      <c r="D14" s="26"/>
      <c r="E14" s="25">
        <v>20</v>
      </c>
      <c r="F14" s="25">
        <f>12*E14</f>
        <v>240</v>
      </c>
    </row>
    <row r="15" spans="1:12" x14ac:dyDescent="0.25">
      <c r="A15" s="9" t="s">
        <v>71</v>
      </c>
      <c r="B15" s="9" t="s">
        <v>25</v>
      </c>
      <c r="C15" s="27">
        <v>42953</v>
      </c>
      <c r="D15" s="28" t="s">
        <v>26</v>
      </c>
      <c r="E15" s="18"/>
      <c r="F15" s="18">
        <v>-337.32</v>
      </c>
    </row>
    <row r="17" spans="1:5" ht="18.75" x14ac:dyDescent="0.3">
      <c r="A17" s="6" t="s">
        <v>72</v>
      </c>
      <c r="B17" s="7">
        <f>SUM(F5:F15)</f>
        <v>14363.76</v>
      </c>
    </row>
    <row r="18" spans="1:5" ht="18.75" x14ac:dyDescent="0.3">
      <c r="A18" s="6" t="s">
        <v>73</v>
      </c>
      <c r="B18" s="7">
        <f>F11+F12+F14</f>
        <v>12389.88</v>
      </c>
    </row>
    <row r="19" spans="1:5" ht="18.75" x14ac:dyDescent="0.3">
      <c r="A19" s="6" t="s">
        <v>74</v>
      </c>
      <c r="B19" s="7">
        <f>SUM(F5:F10)+F13+F15</f>
        <v>1973.8799999999999</v>
      </c>
    </row>
    <row r="21" spans="1:5" ht="23.25" x14ac:dyDescent="0.35">
      <c r="A21" s="108" t="s">
        <v>34</v>
      </c>
      <c r="B21" s="108"/>
      <c r="D21" s="29" t="s">
        <v>35</v>
      </c>
      <c r="E21" s="30"/>
    </row>
    <row r="22" spans="1:5" ht="18.75" x14ac:dyDescent="0.3">
      <c r="A22" s="1" t="s">
        <v>36</v>
      </c>
      <c r="B22" s="1" t="s">
        <v>7</v>
      </c>
      <c r="D22" s="31"/>
      <c r="E22" s="32" t="s">
        <v>37</v>
      </c>
    </row>
    <row r="23" spans="1:5" x14ac:dyDescent="0.25">
      <c r="A23" s="10" t="s">
        <v>38</v>
      </c>
      <c r="B23" s="25">
        <v>200</v>
      </c>
      <c r="D23" s="33"/>
      <c r="E23" s="34" t="s">
        <v>39</v>
      </c>
    </row>
    <row r="24" spans="1:5" x14ac:dyDescent="0.25">
      <c r="A24" s="10" t="s">
        <v>40</v>
      </c>
      <c r="B24" s="25">
        <v>200</v>
      </c>
      <c r="D24" s="35"/>
      <c r="E24" s="36" t="s">
        <v>41</v>
      </c>
    </row>
    <row r="25" spans="1:5" x14ac:dyDescent="0.25">
      <c r="A25" s="10" t="s">
        <v>75</v>
      </c>
      <c r="B25" s="25">
        <v>150</v>
      </c>
      <c r="D25" s="9"/>
      <c r="E25" s="9" t="s">
        <v>76</v>
      </c>
    </row>
    <row r="26" spans="1:5" x14ac:dyDescent="0.25">
      <c r="A26" s="8" t="s">
        <v>42</v>
      </c>
      <c r="B26" s="17">
        <v>81.400000000000006</v>
      </c>
    </row>
    <row r="27" spans="1:5" x14ac:dyDescent="0.25">
      <c r="A27" s="8" t="s">
        <v>43</v>
      </c>
      <c r="B27" s="17">
        <v>50</v>
      </c>
    </row>
    <row r="28" spans="1:5" x14ac:dyDescent="0.25">
      <c r="A28" s="8" t="s">
        <v>44</v>
      </c>
      <c r="B28" s="17">
        <v>86.4</v>
      </c>
    </row>
    <row r="29" spans="1:5" x14ac:dyDescent="0.25">
      <c r="A29" s="8" t="s">
        <v>45</v>
      </c>
      <c r="B29" s="17">
        <v>90</v>
      </c>
    </row>
    <row r="30" spans="1:5" x14ac:dyDescent="0.25">
      <c r="B30" s="2"/>
    </row>
    <row r="31" spans="1:5" ht="18.75" x14ac:dyDescent="0.3">
      <c r="A31" s="6" t="s">
        <v>72</v>
      </c>
      <c r="B31" s="7">
        <f>SUM(B23:B29)</f>
        <v>857.8</v>
      </c>
    </row>
    <row r="32" spans="1:5" ht="18.75" x14ac:dyDescent="0.3">
      <c r="A32" s="6" t="s">
        <v>77</v>
      </c>
      <c r="B32" s="7">
        <f>SUM(B23:B29)+F10+F15</f>
        <v>1722.7899999999997</v>
      </c>
    </row>
    <row r="34" spans="1:3" x14ac:dyDescent="0.25">
      <c r="A34" s="108" t="s">
        <v>47</v>
      </c>
      <c r="B34" s="108"/>
      <c r="C34" s="108"/>
    </row>
    <row r="35" spans="1:3" x14ac:dyDescent="0.25">
      <c r="A35" s="108"/>
      <c r="B35" s="108"/>
      <c r="C35" s="108"/>
    </row>
    <row r="36" spans="1:3" ht="18.75" x14ac:dyDescent="0.3">
      <c r="A36" s="1" t="s">
        <v>36</v>
      </c>
      <c r="B36" s="1" t="s">
        <v>6</v>
      </c>
      <c r="C36" s="1" t="s">
        <v>7</v>
      </c>
    </row>
    <row r="37" spans="1:3" x14ac:dyDescent="0.25">
      <c r="A37" s="10" t="s">
        <v>48</v>
      </c>
      <c r="B37" s="25">
        <v>400</v>
      </c>
      <c r="C37" s="25">
        <f>12*B37</f>
        <v>4800</v>
      </c>
    </row>
    <row r="38" spans="1:3" x14ac:dyDescent="0.25">
      <c r="A38" s="10" t="s">
        <v>49</v>
      </c>
      <c r="B38" s="25">
        <v>124.21</v>
      </c>
      <c r="C38" s="25">
        <f t="shared" ref="C38:C41" si="0">12*B38</f>
        <v>1490.52</v>
      </c>
    </row>
    <row r="39" spans="1:3" x14ac:dyDescent="0.25">
      <c r="A39" s="10" t="s">
        <v>50</v>
      </c>
      <c r="B39" s="25">
        <v>52</v>
      </c>
      <c r="C39" s="25">
        <f t="shared" si="0"/>
        <v>624</v>
      </c>
    </row>
    <row r="40" spans="1:3" x14ac:dyDescent="0.25">
      <c r="A40" s="10" t="s">
        <v>51</v>
      </c>
      <c r="B40" s="25">
        <v>32</v>
      </c>
      <c r="C40" s="25">
        <f t="shared" si="0"/>
        <v>384</v>
      </c>
    </row>
    <row r="41" spans="1:3" x14ac:dyDescent="0.25">
      <c r="A41" s="10" t="s">
        <v>52</v>
      </c>
      <c r="B41" s="25">
        <v>41.15</v>
      </c>
      <c r="C41" s="25">
        <f t="shared" si="0"/>
        <v>493.79999999999995</v>
      </c>
    </row>
    <row r="42" spans="1:3" x14ac:dyDescent="0.25">
      <c r="B42" s="2"/>
      <c r="C42" s="2"/>
    </row>
    <row r="43" spans="1:3" ht="18.75" x14ac:dyDescent="0.3">
      <c r="A43" s="6" t="s">
        <v>72</v>
      </c>
      <c r="B43" s="7">
        <f>SUM(C37:C41)</f>
        <v>7792.3200000000006</v>
      </c>
      <c r="C43" s="2"/>
    </row>
    <row r="44" spans="1:3" ht="18.75" x14ac:dyDescent="0.3">
      <c r="A44" s="6"/>
      <c r="B44" s="7"/>
      <c r="C44" s="2"/>
    </row>
    <row r="45" spans="1:3" x14ac:dyDescent="0.25">
      <c r="A45" s="108" t="s">
        <v>78</v>
      </c>
      <c r="B45" s="108"/>
      <c r="C45" s="108"/>
    </row>
    <row r="46" spans="1:3" x14ac:dyDescent="0.25">
      <c r="A46" s="108"/>
      <c r="B46" s="108"/>
      <c r="C46" s="108"/>
    </row>
    <row r="47" spans="1:3" x14ac:dyDescent="0.25">
      <c r="A47" s="8" t="s">
        <v>56</v>
      </c>
      <c r="B47" s="17"/>
      <c r="C47" s="17">
        <v>200</v>
      </c>
    </row>
    <row r="48" spans="1:3" x14ac:dyDescent="0.25">
      <c r="A48" s="8" t="s">
        <v>79</v>
      </c>
      <c r="B48" s="17"/>
      <c r="C48" s="17">
        <v>157.69999999999999</v>
      </c>
    </row>
    <row r="49" spans="1:3" x14ac:dyDescent="0.25">
      <c r="A49" s="10" t="s">
        <v>57</v>
      </c>
      <c r="B49" s="25">
        <v>12</v>
      </c>
      <c r="C49" s="25">
        <f>12*B49</f>
        <v>144</v>
      </c>
    </row>
    <row r="50" spans="1:3" x14ac:dyDescent="0.25">
      <c r="A50" s="10" t="s">
        <v>59</v>
      </c>
      <c r="B50" s="25"/>
      <c r="C50" s="25">
        <v>1000</v>
      </c>
    </row>
    <row r="51" spans="1:3" x14ac:dyDescent="0.25">
      <c r="A51" s="10" t="s">
        <v>60</v>
      </c>
      <c r="B51" s="25"/>
      <c r="C51" s="25">
        <v>500</v>
      </c>
    </row>
    <row r="52" spans="1:3" x14ac:dyDescent="0.25">
      <c r="A52" s="10" t="s">
        <v>61</v>
      </c>
      <c r="B52" s="25"/>
      <c r="C52" s="25">
        <v>1500</v>
      </c>
    </row>
    <row r="53" spans="1:3" ht="18.75" x14ac:dyDescent="0.3">
      <c r="A53" s="6"/>
      <c r="B53" s="7"/>
      <c r="C53" s="2"/>
    </row>
    <row r="54" spans="1:3" ht="18.75" x14ac:dyDescent="0.3">
      <c r="A54" s="6" t="s">
        <v>72</v>
      </c>
      <c r="B54" s="7">
        <f>SUM(C47:C52)</f>
        <v>3501.7</v>
      </c>
      <c r="C54" s="2"/>
    </row>
    <row r="56" spans="1:3" x14ac:dyDescent="0.25">
      <c r="A56" s="108" t="s">
        <v>53</v>
      </c>
      <c r="B56" s="108"/>
      <c r="C56" s="108"/>
    </row>
    <row r="57" spans="1:3" x14ac:dyDescent="0.25">
      <c r="A57" s="108"/>
      <c r="B57" s="108"/>
      <c r="C57" s="108"/>
    </row>
    <row r="58" spans="1:3" ht="18.75" x14ac:dyDescent="0.3">
      <c r="A58" s="1" t="s">
        <v>36</v>
      </c>
      <c r="B58" s="1" t="s">
        <v>6</v>
      </c>
      <c r="C58" s="1" t="s">
        <v>7</v>
      </c>
    </row>
    <row r="59" spans="1:3" x14ac:dyDescent="0.25">
      <c r="A59" s="10" t="s">
        <v>54</v>
      </c>
      <c r="B59" s="25">
        <v>300</v>
      </c>
      <c r="C59" s="25">
        <f>12*B59</f>
        <v>3600</v>
      </c>
    </row>
    <row r="60" spans="1:3" x14ac:dyDescent="0.25">
      <c r="A60" s="10" t="s">
        <v>55</v>
      </c>
      <c r="B60" s="25">
        <v>7.9</v>
      </c>
      <c r="C60" s="25">
        <f>12*B60</f>
        <v>94.800000000000011</v>
      </c>
    </row>
    <row r="61" spans="1:3" x14ac:dyDescent="0.25">
      <c r="A61" s="10" t="s">
        <v>58</v>
      </c>
      <c r="B61" s="25"/>
      <c r="C61" s="25">
        <v>600</v>
      </c>
    </row>
    <row r="62" spans="1:3" x14ac:dyDescent="0.25">
      <c r="A62" s="10" t="s">
        <v>80</v>
      </c>
      <c r="B62" s="25">
        <v>22</v>
      </c>
      <c r="C62" s="25">
        <f>12*B62</f>
        <v>264</v>
      </c>
    </row>
    <row r="63" spans="1:3" x14ac:dyDescent="0.25">
      <c r="A63" s="9" t="s">
        <v>81</v>
      </c>
      <c r="B63" s="18"/>
      <c r="C63" s="18">
        <v>-164.15</v>
      </c>
    </row>
    <row r="64" spans="1:3" x14ac:dyDescent="0.25">
      <c r="A64" s="10" t="s">
        <v>82</v>
      </c>
      <c r="B64" s="25"/>
      <c r="C64" s="25">
        <v>3700</v>
      </c>
    </row>
    <row r="65" spans="1:3" x14ac:dyDescent="0.25">
      <c r="A65" s="9" t="s">
        <v>83</v>
      </c>
      <c r="B65" s="18"/>
      <c r="C65" s="18">
        <v>-347.2</v>
      </c>
    </row>
    <row r="66" spans="1:3" x14ac:dyDescent="0.25">
      <c r="A66" s="10" t="s">
        <v>84</v>
      </c>
      <c r="B66" s="25"/>
      <c r="C66" s="25">
        <v>500</v>
      </c>
    </row>
    <row r="67" spans="1:3" x14ac:dyDescent="0.25">
      <c r="A67" s="9" t="s">
        <v>85</v>
      </c>
      <c r="B67" s="18"/>
      <c r="C67" s="18">
        <v>-351.6</v>
      </c>
    </row>
    <row r="68" spans="1:3" x14ac:dyDescent="0.25">
      <c r="A68" s="9" t="s">
        <v>86</v>
      </c>
      <c r="B68" s="18"/>
      <c r="C68" s="18">
        <v>-2000</v>
      </c>
    </row>
    <row r="69" spans="1:3" x14ac:dyDescent="0.25">
      <c r="B69" s="2"/>
      <c r="C69" s="2"/>
    </row>
    <row r="70" spans="1:3" ht="18.75" x14ac:dyDescent="0.3">
      <c r="A70" s="6" t="s">
        <v>72</v>
      </c>
      <c r="B70" s="7">
        <f>SUM(C59:C68)</f>
        <v>5895.85</v>
      </c>
      <c r="C70" s="2"/>
    </row>
    <row r="71" spans="1:3" ht="15.75" x14ac:dyDescent="0.25">
      <c r="A71" s="4"/>
      <c r="B71" s="4"/>
    </row>
    <row r="75" spans="1:3" ht="21" x14ac:dyDescent="0.35">
      <c r="A75" s="39" t="s">
        <v>87</v>
      </c>
      <c r="B75" s="40">
        <f>B17+B31+B43+B70+B54</f>
        <v>32411.430000000004</v>
      </c>
    </row>
    <row r="76" spans="1:3" ht="21" x14ac:dyDescent="0.35">
      <c r="A76" s="39" t="s">
        <v>88</v>
      </c>
      <c r="B76" s="40">
        <f>B19+B31+B43+B70+B54</f>
        <v>20021.55</v>
      </c>
    </row>
    <row r="77" spans="1:3" ht="21" x14ac:dyDescent="0.35">
      <c r="A77" s="37"/>
      <c r="B77" s="38"/>
    </row>
    <row r="78" spans="1:3" ht="21" x14ac:dyDescent="0.35">
      <c r="A78" s="41" t="s">
        <v>89</v>
      </c>
      <c r="B78" s="42">
        <f>39896.63-7164.22-5623.75</f>
        <v>27108.659999999996</v>
      </c>
    </row>
    <row r="79" spans="1:3" ht="21" x14ac:dyDescent="0.35">
      <c r="A79" s="41" t="s">
        <v>90</v>
      </c>
      <c r="B79" s="42">
        <v>12068.52</v>
      </c>
    </row>
    <row r="80" spans="1:3" ht="21" x14ac:dyDescent="0.35">
      <c r="A80" s="44" t="s">
        <v>91</v>
      </c>
      <c r="B80" s="45">
        <f>B78+B79</f>
        <v>39177.179999999993</v>
      </c>
    </row>
  </sheetData>
  <mergeCells count="6">
    <mergeCell ref="A1:F2"/>
    <mergeCell ref="A3:F3"/>
    <mergeCell ref="A21:B21"/>
    <mergeCell ref="A34:C35"/>
    <mergeCell ref="A56:C57"/>
    <mergeCell ref="A45:C46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84"/>
  <sheetViews>
    <sheetView topLeftCell="A58" zoomScale="160" zoomScaleNormal="160" workbookViewId="0">
      <selection activeCell="B84" sqref="B84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9" t="s">
        <v>92</v>
      </c>
      <c r="B1" s="109"/>
      <c r="C1" s="109"/>
      <c r="D1" s="109"/>
      <c r="E1" s="109"/>
      <c r="F1" s="109"/>
      <c r="G1" s="3"/>
      <c r="H1" s="3"/>
      <c r="I1" s="3"/>
      <c r="J1" s="3"/>
      <c r="K1" s="3"/>
      <c r="L1" s="3"/>
    </row>
    <row r="2" spans="1:12" ht="15" customHeight="1" x14ac:dyDescent="0.45">
      <c r="A2" s="109"/>
      <c r="B2" s="109"/>
      <c r="C2" s="109"/>
      <c r="D2" s="109"/>
      <c r="E2" s="109"/>
      <c r="F2" s="109"/>
      <c r="G2" s="3"/>
      <c r="H2" s="3"/>
      <c r="I2" s="3"/>
      <c r="J2" s="3"/>
      <c r="K2" s="3"/>
      <c r="L2" s="3"/>
    </row>
    <row r="3" spans="1:12" ht="23.25" x14ac:dyDescent="0.25">
      <c r="A3" s="108" t="s">
        <v>1</v>
      </c>
      <c r="B3" s="108"/>
      <c r="C3" s="108"/>
      <c r="D3" s="108"/>
      <c r="E3" s="108"/>
      <c r="F3" s="10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93</v>
      </c>
      <c r="B5" s="8" t="s">
        <v>16</v>
      </c>
      <c r="C5" s="15">
        <v>43156</v>
      </c>
      <c r="D5" s="16" t="s">
        <v>10</v>
      </c>
      <c r="E5" s="17"/>
      <c r="F5" s="17">
        <v>130.35</v>
      </c>
      <c r="G5" t="s">
        <v>94</v>
      </c>
    </row>
    <row r="6" spans="1:12" x14ac:dyDescent="0.25">
      <c r="A6" s="8" t="s">
        <v>11</v>
      </c>
      <c r="B6" s="8" t="s">
        <v>12</v>
      </c>
      <c r="C6" s="15" t="s">
        <v>13</v>
      </c>
      <c r="D6" s="16" t="s">
        <v>14</v>
      </c>
      <c r="E6" s="17"/>
      <c r="F6" s="43" t="s">
        <v>95</v>
      </c>
    </row>
    <row r="7" spans="1:12" x14ac:dyDescent="0.25">
      <c r="A7" s="8" t="s">
        <v>15</v>
      </c>
      <c r="B7" s="8" t="s">
        <v>16</v>
      </c>
      <c r="C7" s="15" t="s">
        <v>13</v>
      </c>
      <c r="D7" s="16">
        <v>1307545</v>
      </c>
      <c r="E7" s="17"/>
      <c r="F7" s="17">
        <v>211.18</v>
      </c>
    </row>
    <row r="8" spans="1:12" x14ac:dyDescent="0.25">
      <c r="A8" s="10" t="s">
        <v>18</v>
      </c>
      <c r="B8" s="10" t="s">
        <v>19</v>
      </c>
      <c r="C8" s="26" t="s">
        <v>20</v>
      </c>
      <c r="D8" s="26" t="s">
        <v>66</v>
      </c>
      <c r="E8" s="25">
        <v>16.68</v>
      </c>
      <c r="F8" s="25">
        <f>12*E8</f>
        <v>200.16</v>
      </c>
    </row>
    <row r="9" spans="1:12" x14ac:dyDescent="0.25">
      <c r="A9" s="8" t="s">
        <v>22</v>
      </c>
      <c r="B9" s="8" t="s">
        <v>23</v>
      </c>
      <c r="C9" s="15" t="s">
        <v>13</v>
      </c>
      <c r="D9" s="16">
        <v>180885569</v>
      </c>
      <c r="E9" s="17"/>
      <c r="F9" s="17">
        <v>318.79000000000002</v>
      </c>
    </row>
    <row r="10" spans="1:12" x14ac:dyDescent="0.25">
      <c r="A10" s="8" t="s">
        <v>96</v>
      </c>
      <c r="B10" s="8" t="s">
        <v>9</v>
      </c>
      <c r="C10" s="15"/>
      <c r="D10" s="16" t="s">
        <v>97</v>
      </c>
      <c r="E10" s="17"/>
      <c r="F10" s="17">
        <v>1315.74</v>
      </c>
    </row>
    <row r="11" spans="1:12" x14ac:dyDescent="0.25">
      <c r="A11" s="10" t="s">
        <v>27</v>
      </c>
      <c r="B11" s="10" t="s">
        <v>23</v>
      </c>
      <c r="C11" s="26" t="s">
        <v>20</v>
      </c>
      <c r="D11" s="26" t="s">
        <v>28</v>
      </c>
      <c r="E11" s="25">
        <v>121.67</v>
      </c>
      <c r="F11" s="25">
        <f>12*E11</f>
        <v>1460.04</v>
      </c>
    </row>
    <row r="12" spans="1:12" x14ac:dyDescent="0.25">
      <c r="A12" s="10" t="s">
        <v>29</v>
      </c>
      <c r="B12" s="10" t="s">
        <v>98</v>
      </c>
      <c r="C12" s="26" t="s">
        <v>20</v>
      </c>
      <c r="D12" s="26"/>
      <c r="E12" s="25">
        <v>900</v>
      </c>
      <c r="F12" s="25">
        <f>12*E12</f>
        <v>10800</v>
      </c>
    </row>
    <row r="13" spans="1:12" x14ac:dyDescent="0.25">
      <c r="A13" s="8" t="s">
        <v>99</v>
      </c>
      <c r="B13" s="8"/>
      <c r="C13" s="16" t="s">
        <v>100</v>
      </c>
      <c r="D13" s="16"/>
      <c r="E13" s="17"/>
      <c r="F13" s="17">
        <v>240.84</v>
      </c>
    </row>
    <row r="14" spans="1:12" x14ac:dyDescent="0.25">
      <c r="A14" s="10" t="s">
        <v>70</v>
      </c>
      <c r="B14" s="10" t="s">
        <v>68</v>
      </c>
      <c r="C14" s="26" t="s">
        <v>20</v>
      </c>
      <c r="D14" s="26"/>
      <c r="E14" s="25">
        <v>20</v>
      </c>
      <c r="F14" s="25">
        <f>12*E14</f>
        <v>240</v>
      </c>
    </row>
    <row r="16" spans="1:12" ht="18.75" x14ac:dyDescent="0.3">
      <c r="A16" s="6" t="s">
        <v>72</v>
      </c>
      <c r="B16" s="7">
        <f>SUM(F5:F14)</f>
        <v>14917.1</v>
      </c>
    </row>
    <row r="17" spans="1:5" ht="18.75" x14ac:dyDescent="0.3">
      <c r="A17" s="6" t="s">
        <v>101</v>
      </c>
      <c r="B17" s="7">
        <f>F11+F12+F14+F13</f>
        <v>12740.880000000001</v>
      </c>
    </row>
    <row r="18" spans="1:5" ht="18.75" x14ac:dyDescent="0.3">
      <c r="A18" s="6" t="s">
        <v>74</v>
      </c>
      <c r="B18" s="7">
        <f>SUM(F5:F10)</f>
        <v>2176.2200000000003</v>
      </c>
    </row>
    <row r="20" spans="1:5" ht="23.25" x14ac:dyDescent="0.35">
      <c r="A20" s="108" t="s">
        <v>34</v>
      </c>
      <c r="B20" s="108"/>
      <c r="D20" s="29" t="s">
        <v>35</v>
      </c>
      <c r="E20" s="30"/>
    </row>
    <row r="21" spans="1:5" ht="18.75" x14ac:dyDescent="0.3">
      <c r="A21" s="1" t="s">
        <v>36</v>
      </c>
      <c r="B21" s="1" t="s">
        <v>7</v>
      </c>
      <c r="D21" s="31"/>
      <c r="E21" s="32" t="s">
        <v>37</v>
      </c>
    </row>
    <row r="22" spans="1:5" x14ac:dyDescent="0.25">
      <c r="A22" s="10" t="s">
        <v>38</v>
      </c>
      <c r="B22" s="25">
        <f>41.53+38.18+13.84+25.78+27.6+43.26+49.4+49.38+38.11+34.07+42.28+48.2+42.51</f>
        <v>494.14000000000004</v>
      </c>
      <c r="D22" s="33"/>
      <c r="E22" s="34" t="s">
        <v>39</v>
      </c>
    </row>
    <row r="23" spans="1:5" x14ac:dyDescent="0.25">
      <c r="A23" s="10" t="s">
        <v>102</v>
      </c>
      <c r="B23" s="25">
        <v>377.48</v>
      </c>
      <c r="D23" s="35"/>
      <c r="E23" s="36" t="s">
        <v>41</v>
      </c>
    </row>
    <row r="24" spans="1:5" x14ac:dyDescent="0.25">
      <c r="A24" s="10" t="s">
        <v>75</v>
      </c>
      <c r="B24" s="25">
        <v>0</v>
      </c>
      <c r="D24" s="9"/>
      <c r="E24" s="9" t="s">
        <v>76</v>
      </c>
    </row>
    <row r="25" spans="1:5" x14ac:dyDescent="0.25">
      <c r="A25" s="8" t="s">
        <v>42</v>
      </c>
      <c r="B25" s="17">
        <v>82.2</v>
      </c>
    </row>
    <row r="26" spans="1:5" x14ac:dyDescent="0.25">
      <c r="A26" s="8" t="s">
        <v>44</v>
      </c>
      <c r="B26" s="17">
        <v>87.3</v>
      </c>
    </row>
    <row r="27" spans="1:5" x14ac:dyDescent="0.25">
      <c r="A27" s="8" t="s">
        <v>43</v>
      </c>
      <c r="B27" s="17">
        <v>43.7</v>
      </c>
    </row>
    <row r="28" spans="1:5" x14ac:dyDescent="0.25">
      <c r="A28" s="8" t="s">
        <v>103</v>
      </c>
      <c r="B28" s="17">
        <v>23.8</v>
      </c>
    </row>
    <row r="29" spans="1:5" x14ac:dyDescent="0.25">
      <c r="B29" s="2"/>
    </row>
    <row r="30" spans="1:5" ht="18.75" x14ac:dyDescent="0.3">
      <c r="A30" s="6" t="s">
        <v>72</v>
      </c>
      <c r="B30" s="7">
        <f>SUM(B22:B28)</f>
        <v>1108.6200000000001</v>
      </c>
    </row>
    <row r="31" spans="1:5" ht="18.75" x14ac:dyDescent="0.3">
      <c r="A31" s="6" t="s">
        <v>77</v>
      </c>
      <c r="B31" s="7">
        <f>SUM(B22:B28)+F10</f>
        <v>2424.36</v>
      </c>
    </row>
    <row r="33" spans="1:6" x14ac:dyDescent="0.25">
      <c r="A33" s="108" t="s">
        <v>47</v>
      </c>
      <c r="B33" s="108"/>
      <c r="C33" s="108"/>
    </row>
    <row r="34" spans="1:6" x14ac:dyDescent="0.25">
      <c r="A34" s="108"/>
      <c r="B34" s="108"/>
      <c r="C34" s="108"/>
    </row>
    <row r="35" spans="1:6" ht="18.75" x14ac:dyDescent="0.3">
      <c r="A35" s="1" t="s">
        <v>36</v>
      </c>
      <c r="B35" s="1" t="s">
        <v>6</v>
      </c>
      <c r="C35" s="1" t="s">
        <v>7</v>
      </c>
      <c r="F35" s="1"/>
    </row>
    <row r="36" spans="1:6" x14ac:dyDescent="0.25">
      <c r="A36" s="10" t="s">
        <v>48</v>
      </c>
      <c r="B36" s="25">
        <v>400</v>
      </c>
      <c r="C36" s="25">
        <f>12*B36</f>
        <v>4800</v>
      </c>
    </row>
    <row r="37" spans="1:6" x14ac:dyDescent="0.25">
      <c r="A37" s="10" t="s">
        <v>49</v>
      </c>
      <c r="B37" s="25">
        <v>128.9</v>
      </c>
      <c r="C37" s="25">
        <f t="shared" ref="C37:C41" si="0">12*B37</f>
        <v>1546.8000000000002</v>
      </c>
    </row>
    <row r="38" spans="1:6" x14ac:dyDescent="0.25">
      <c r="A38" s="10" t="s">
        <v>50</v>
      </c>
      <c r="B38" s="25">
        <v>29</v>
      </c>
      <c r="C38" s="25">
        <f t="shared" si="0"/>
        <v>348</v>
      </c>
    </row>
    <row r="39" spans="1:6" x14ac:dyDescent="0.25">
      <c r="A39" s="10" t="s">
        <v>104</v>
      </c>
      <c r="B39" s="25">
        <v>11.86</v>
      </c>
      <c r="C39" s="25">
        <f>12*B39</f>
        <v>142.32</v>
      </c>
    </row>
    <row r="40" spans="1:6" x14ac:dyDescent="0.25">
      <c r="A40" s="10" t="s">
        <v>51</v>
      </c>
      <c r="B40" s="25">
        <v>31</v>
      </c>
      <c r="C40" s="25">
        <f t="shared" si="0"/>
        <v>372</v>
      </c>
    </row>
    <row r="41" spans="1:6" x14ac:dyDescent="0.25">
      <c r="A41" s="10" t="s">
        <v>52</v>
      </c>
      <c r="B41" s="25">
        <v>44.65</v>
      </c>
      <c r="C41" s="25">
        <f t="shared" si="0"/>
        <v>535.79999999999995</v>
      </c>
    </row>
    <row r="42" spans="1:6" x14ac:dyDescent="0.25">
      <c r="B42" s="2"/>
      <c r="C42" s="2"/>
    </row>
    <row r="43" spans="1:6" ht="18.75" x14ac:dyDescent="0.3">
      <c r="A43" s="6" t="s">
        <v>72</v>
      </c>
      <c r="B43" s="7">
        <f>SUM(C36:C41)</f>
        <v>7744.92</v>
      </c>
      <c r="C43" s="2"/>
    </row>
    <row r="44" spans="1:6" ht="18.75" x14ac:dyDescent="0.3">
      <c r="A44" s="6"/>
      <c r="B44" s="7"/>
      <c r="C44" s="2"/>
    </row>
    <row r="45" spans="1:6" x14ac:dyDescent="0.25">
      <c r="A45" s="108" t="s">
        <v>78</v>
      </c>
      <c r="B45" s="108"/>
      <c r="C45" s="108"/>
    </row>
    <row r="46" spans="1:6" x14ac:dyDescent="0.25">
      <c r="A46" s="108"/>
      <c r="B46" s="108"/>
      <c r="C46" s="108"/>
    </row>
    <row r="47" spans="1:6" x14ac:dyDescent="0.25">
      <c r="A47" s="8" t="s">
        <v>56</v>
      </c>
      <c r="B47" s="17">
        <v>200</v>
      </c>
    </row>
    <row r="48" spans="1:6" x14ac:dyDescent="0.25">
      <c r="A48" s="8" t="s">
        <v>79</v>
      </c>
      <c r="B48" s="17">
        <v>158.1</v>
      </c>
    </row>
    <row r="49" spans="1:6" x14ac:dyDescent="0.25">
      <c r="A49" s="8" t="s">
        <v>105</v>
      </c>
      <c r="B49" s="17">
        <v>195</v>
      </c>
    </row>
    <row r="50" spans="1:6" x14ac:dyDescent="0.25">
      <c r="A50" s="8" t="s">
        <v>106</v>
      </c>
      <c r="B50" s="17">
        <v>500</v>
      </c>
    </row>
    <row r="51" spans="1:6" x14ac:dyDescent="0.25">
      <c r="A51" s="8" t="s">
        <v>107</v>
      </c>
      <c r="B51" s="17">
        <v>2900</v>
      </c>
    </row>
    <row r="52" spans="1:6" x14ac:dyDescent="0.25">
      <c r="A52" s="8" t="s">
        <v>108</v>
      </c>
      <c r="B52" s="17">
        <v>300</v>
      </c>
    </row>
    <row r="53" spans="1:6" x14ac:dyDescent="0.25">
      <c r="A53" s="8" t="s">
        <v>109</v>
      </c>
      <c r="B53" s="17">
        <v>200</v>
      </c>
    </row>
    <row r="54" spans="1:6" x14ac:dyDescent="0.25">
      <c r="A54" s="8" t="s">
        <v>110</v>
      </c>
      <c r="B54" s="17">
        <f>640+220</f>
        <v>860</v>
      </c>
    </row>
    <row r="55" spans="1:6" x14ac:dyDescent="0.25">
      <c r="A55" s="8" t="s">
        <v>60</v>
      </c>
      <c r="B55" s="17">
        <v>800</v>
      </c>
    </row>
    <row r="57" spans="1:6" ht="18.75" x14ac:dyDescent="0.3">
      <c r="A57" s="6" t="s">
        <v>72</v>
      </c>
      <c r="B57" s="7">
        <f>SUM(B47:B55)</f>
        <v>6113.1</v>
      </c>
    </row>
    <row r="59" spans="1:6" x14ac:dyDescent="0.25">
      <c r="A59" s="108" t="s">
        <v>53</v>
      </c>
      <c r="B59" s="108"/>
      <c r="C59" s="108"/>
    </row>
    <row r="60" spans="1:6" x14ac:dyDescent="0.25">
      <c r="A60" s="108"/>
      <c r="B60" s="108"/>
      <c r="C60" s="108"/>
    </row>
    <row r="61" spans="1:6" ht="18.75" x14ac:dyDescent="0.3">
      <c r="A61" s="1" t="s">
        <v>36</v>
      </c>
      <c r="B61" s="1" t="s">
        <v>6</v>
      </c>
      <c r="C61" s="1" t="s">
        <v>7</v>
      </c>
      <c r="F61" s="1"/>
    </row>
    <row r="62" spans="1:6" x14ac:dyDescent="0.25">
      <c r="A62" s="10" t="s">
        <v>54</v>
      </c>
      <c r="B62" s="25">
        <v>300</v>
      </c>
      <c r="C62" s="25">
        <f>12*B62</f>
        <v>3600</v>
      </c>
    </row>
    <row r="63" spans="1:6" x14ac:dyDescent="0.25">
      <c r="A63" s="10" t="s">
        <v>55</v>
      </c>
      <c r="B63" s="25">
        <v>7.9</v>
      </c>
      <c r="C63" s="25">
        <f>12*B63</f>
        <v>94.800000000000011</v>
      </c>
    </row>
    <row r="64" spans="1:6" x14ac:dyDescent="0.25">
      <c r="A64" s="10" t="s">
        <v>58</v>
      </c>
      <c r="B64" s="25"/>
      <c r="C64" s="25">
        <f>500+500+200</f>
        <v>1200</v>
      </c>
    </row>
    <row r="65" spans="1:3" x14ac:dyDescent="0.25">
      <c r="A65" s="10" t="s">
        <v>80</v>
      </c>
      <c r="B65" s="25">
        <v>22</v>
      </c>
      <c r="C65" s="25">
        <f>12*B65</f>
        <v>264</v>
      </c>
    </row>
    <row r="66" spans="1:3" x14ac:dyDescent="0.25">
      <c r="A66" s="8" t="s">
        <v>111</v>
      </c>
      <c r="B66" s="8"/>
      <c r="C66" s="17">
        <f>5700+4600</f>
        <v>10300</v>
      </c>
    </row>
    <row r="67" spans="1:3" x14ac:dyDescent="0.25">
      <c r="A67" s="9" t="s">
        <v>112</v>
      </c>
      <c r="B67" s="18"/>
      <c r="C67" s="18">
        <v>-2200</v>
      </c>
    </row>
    <row r="68" spans="1:3" x14ac:dyDescent="0.25">
      <c r="A68" s="9" t="s">
        <v>113</v>
      </c>
      <c r="B68" s="18"/>
      <c r="C68" s="18">
        <v>-5000</v>
      </c>
    </row>
    <row r="69" spans="1:3" x14ac:dyDescent="0.25">
      <c r="A69" s="8" t="s">
        <v>114</v>
      </c>
      <c r="B69" s="17"/>
      <c r="C69" s="17">
        <v>500</v>
      </c>
    </row>
    <row r="70" spans="1:3" x14ac:dyDescent="0.25">
      <c r="A70" s="9" t="s">
        <v>115</v>
      </c>
      <c r="B70" s="18"/>
      <c r="C70" s="18">
        <v>-500</v>
      </c>
    </row>
    <row r="71" spans="1:3" x14ac:dyDescent="0.25">
      <c r="A71" s="8" t="s">
        <v>116</v>
      </c>
      <c r="B71" s="8"/>
      <c r="C71" s="17">
        <v>12500</v>
      </c>
    </row>
    <row r="72" spans="1:3" x14ac:dyDescent="0.25">
      <c r="A72" s="8" t="s">
        <v>117</v>
      </c>
      <c r="B72" s="17"/>
      <c r="C72" s="17">
        <v>1066.19</v>
      </c>
    </row>
    <row r="73" spans="1:3" x14ac:dyDescent="0.25">
      <c r="A73" s="9" t="s">
        <v>118</v>
      </c>
      <c r="B73" s="18"/>
      <c r="C73" s="18">
        <v>-5000</v>
      </c>
    </row>
    <row r="74" spans="1:3" x14ac:dyDescent="0.25">
      <c r="B74" s="2"/>
      <c r="C74" s="2"/>
    </row>
    <row r="75" spans="1:3" ht="18.75" x14ac:dyDescent="0.3">
      <c r="A75" s="6" t="s">
        <v>72</v>
      </c>
      <c r="B75" s="7">
        <f>SUM(C62:C73)</f>
        <v>16824.989999999998</v>
      </c>
      <c r="C75" s="2"/>
    </row>
    <row r="76" spans="1:3" ht="15.75" x14ac:dyDescent="0.25">
      <c r="A76" s="4"/>
      <c r="B76" s="4"/>
    </row>
    <row r="79" spans="1:3" ht="21" x14ac:dyDescent="0.35">
      <c r="A79" s="39" t="s">
        <v>119</v>
      </c>
      <c r="B79" s="40">
        <f>B16+B30+B43+B75+B57</f>
        <v>46708.729999999996</v>
      </c>
    </row>
    <row r="80" spans="1:3" ht="21" x14ac:dyDescent="0.35">
      <c r="A80" s="39" t="s">
        <v>120</v>
      </c>
      <c r="B80" s="40">
        <f>B18+B30+B43+B75+B57</f>
        <v>33967.85</v>
      </c>
    </row>
    <row r="81" spans="1:2" ht="21" x14ac:dyDescent="0.35">
      <c r="A81" s="37"/>
      <c r="B81" s="38"/>
    </row>
    <row r="82" spans="1:2" ht="21" x14ac:dyDescent="0.35">
      <c r="A82" s="41" t="s">
        <v>121</v>
      </c>
      <c r="B82" s="42">
        <f>49721.46-8607-7107.24</f>
        <v>34007.22</v>
      </c>
    </row>
    <row r="83" spans="1:2" ht="21" x14ac:dyDescent="0.35">
      <c r="A83" s="41" t="s">
        <v>122</v>
      </c>
      <c r="B83" s="42">
        <v>8891.02</v>
      </c>
    </row>
    <row r="84" spans="1:2" ht="21" x14ac:dyDescent="0.35">
      <c r="A84" s="44" t="s">
        <v>123</v>
      </c>
      <c r="B84" s="45">
        <f>B82+B83</f>
        <v>42898.240000000005</v>
      </c>
    </row>
  </sheetData>
  <mergeCells count="6">
    <mergeCell ref="A1:F2"/>
    <mergeCell ref="A3:F3"/>
    <mergeCell ref="A20:B20"/>
    <mergeCell ref="A33:C34"/>
    <mergeCell ref="A59:C60"/>
    <mergeCell ref="A45:C46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70"/>
  <sheetViews>
    <sheetView topLeftCell="A43" zoomScale="130" zoomScaleNormal="130" workbookViewId="0">
      <selection activeCell="B74" sqref="B74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9" t="s">
        <v>151</v>
      </c>
      <c r="B1" s="109"/>
      <c r="C1" s="109"/>
      <c r="D1" s="109"/>
      <c r="E1" s="109"/>
      <c r="F1" s="109"/>
      <c r="G1" s="3"/>
      <c r="H1" s="3"/>
      <c r="I1" s="3"/>
      <c r="J1" s="3"/>
      <c r="K1" s="3"/>
      <c r="L1" s="3"/>
    </row>
    <row r="2" spans="1:12" ht="15" customHeight="1" x14ac:dyDescent="0.45">
      <c r="A2" s="109"/>
      <c r="B2" s="109"/>
      <c r="C2" s="109"/>
      <c r="D2" s="109"/>
      <c r="E2" s="109"/>
      <c r="F2" s="109"/>
      <c r="G2" s="3"/>
      <c r="H2" s="3"/>
      <c r="I2" s="3"/>
      <c r="J2" s="3"/>
      <c r="K2" s="3"/>
      <c r="L2" s="3"/>
    </row>
    <row r="3" spans="1:12" ht="23.25" x14ac:dyDescent="0.25">
      <c r="A3" s="108" t="s">
        <v>1</v>
      </c>
      <c r="B3" s="108"/>
      <c r="C3" s="108"/>
      <c r="D3" s="108"/>
      <c r="E3" s="108"/>
      <c r="F3" s="10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124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6" t="s">
        <v>20</v>
      </c>
      <c r="D6" s="26" t="s">
        <v>66</v>
      </c>
      <c r="E6" s="25">
        <v>17.149999999999999</v>
      </c>
      <c r="F6" s="25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125</v>
      </c>
      <c r="B8" s="8" t="s">
        <v>9</v>
      </c>
      <c r="C8" s="15" t="s">
        <v>147</v>
      </c>
      <c r="D8" s="16" t="s">
        <v>146</v>
      </c>
      <c r="E8" s="17"/>
      <c r="F8" s="17">
        <v>981.92</v>
      </c>
    </row>
    <row r="9" spans="1:12" x14ac:dyDescent="0.25">
      <c r="A9" s="8" t="s">
        <v>156</v>
      </c>
      <c r="B9" s="8" t="s">
        <v>157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6" t="s">
        <v>20</v>
      </c>
      <c r="D10" s="26" t="s">
        <v>28</v>
      </c>
      <c r="E10" s="25">
        <v>121.67</v>
      </c>
      <c r="F10" s="25">
        <f>12*E10</f>
        <v>1460.04</v>
      </c>
    </row>
    <row r="11" spans="1:12" x14ac:dyDescent="0.25">
      <c r="A11" s="10" t="s">
        <v>29</v>
      </c>
      <c r="B11" s="10" t="s">
        <v>98</v>
      </c>
      <c r="C11" s="26" t="s">
        <v>20</v>
      </c>
      <c r="D11" s="26"/>
      <c r="E11" s="25">
        <v>900</v>
      </c>
      <c r="F11" s="25">
        <f>3*E11</f>
        <v>2700</v>
      </c>
    </row>
    <row r="12" spans="1:12" x14ac:dyDescent="0.25">
      <c r="A12" s="8" t="s">
        <v>99</v>
      </c>
      <c r="B12" s="8"/>
      <c r="C12" s="16" t="s">
        <v>100</v>
      </c>
      <c r="D12" s="16"/>
      <c r="E12" s="17"/>
      <c r="F12" s="17">
        <v>177.33</v>
      </c>
    </row>
    <row r="13" spans="1:12" x14ac:dyDescent="0.25">
      <c r="A13" s="10" t="s">
        <v>70</v>
      </c>
      <c r="B13" s="10" t="s">
        <v>68</v>
      </c>
      <c r="C13" s="26" t="s">
        <v>20</v>
      </c>
      <c r="D13" s="26"/>
      <c r="E13" s="25">
        <v>20</v>
      </c>
      <c r="F13" s="25">
        <f>12*E13</f>
        <v>240</v>
      </c>
    </row>
    <row r="15" spans="1:12" ht="18.75" x14ac:dyDescent="0.3">
      <c r="A15" s="6" t="s">
        <v>72</v>
      </c>
      <c r="B15" s="7">
        <f>SUM(F5:F13)</f>
        <v>6455.39</v>
      </c>
    </row>
    <row r="16" spans="1:12" ht="18.75" x14ac:dyDescent="0.3">
      <c r="A16" s="6" t="s">
        <v>101</v>
      </c>
      <c r="B16" s="7">
        <f>F10+F11+F13+F12</f>
        <v>4577.37</v>
      </c>
    </row>
    <row r="17" spans="1:6" ht="23.25" x14ac:dyDescent="0.35">
      <c r="A17" s="6" t="s">
        <v>74</v>
      </c>
      <c r="B17" s="7">
        <f>SUM(F5:F9)</f>
        <v>1878.0200000000002</v>
      </c>
      <c r="D17" s="29" t="s">
        <v>35</v>
      </c>
      <c r="E17" s="30"/>
    </row>
    <row r="18" spans="1:6" x14ac:dyDescent="0.25">
      <c r="D18" s="31"/>
      <c r="E18" s="32" t="s">
        <v>37</v>
      </c>
    </row>
    <row r="19" spans="1:6" ht="23.25" x14ac:dyDescent="0.25">
      <c r="A19" s="108" t="s">
        <v>34</v>
      </c>
      <c r="B19" s="108"/>
      <c r="D19" s="33"/>
      <c r="E19" s="34" t="s">
        <v>39</v>
      </c>
    </row>
    <row r="20" spans="1:6" ht="18.75" x14ac:dyDescent="0.3">
      <c r="A20" s="1" t="s">
        <v>36</v>
      </c>
      <c r="B20" s="1" t="s">
        <v>7</v>
      </c>
      <c r="D20" s="35"/>
      <c r="E20" s="36" t="s">
        <v>41</v>
      </c>
    </row>
    <row r="21" spans="1:6" x14ac:dyDescent="0.25">
      <c r="A21" s="10" t="s">
        <v>38</v>
      </c>
      <c r="B21" s="25">
        <f>'laufende Kosten 2019'!H12</f>
        <v>523.1</v>
      </c>
      <c r="D21" s="9"/>
      <c r="E21" s="9" t="s">
        <v>76</v>
      </c>
    </row>
    <row r="22" spans="1:6" x14ac:dyDescent="0.25">
      <c r="A22" s="10" t="s">
        <v>153</v>
      </c>
      <c r="B22" s="25">
        <f>'laufende Kosten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72</v>
      </c>
      <c r="B27" s="7">
        <f>SUM(B21:B25)</f>
        <v>1923.1000000000001</v>
      </c>
    </row>
    <row r="28" spans="1:6" ht="18.75" x14ac:dyDescent="0.3">
      <c r="A28" s="6" t="s">
        <v>77</v>
      </c>
      <c r="B28" s="7">
        <f>SUM(B21:B25)+F8+F9</f>
        <v>2953.95</v>
      </c>
    </row>
    <row r="30" spans="1:6" x14ac:dyDescent="0.25">
      <c r="A30" s="108" t="s">
        <v>47</v>
      </c>
      <c r="B30" s="108"/>
      <c r="C30" s="108"/>
    </row>
    <row r="31" spans="1:6" x14ac:dyDescent="0.25">
      <c r="A31" s="108"/>
      <c r="B31" s="108"/>
      <c r="C31" s="108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5">
        <v>420</v>
      </c>
      <c r="C33" s="25">
        <f>12*B33</f>
        <v>5040</v>
      </c>
    </row>
    <row r="34" spans="1:3" x14ac:dyDescent="0.25">
      <c r="A34" s="10" t="s">
        <v>49</v>
      </c>
      <c r="B34" s="25">
        <v>137.5</v>
      </c>
      <c r="C34" s="25">
        <f t="shared" ref="C34:C38" si="0">12*B34</f>
        <v>1650</v>
      </c>
    </row>
    <row r="35" spans="1:3" x14ac:dyDescent="0.25">
      <c r="A35" s="10" t="s">
        <v>50</v>
      </c>
      <c r="B35" s="25">
        <v>29</v>
      </c>
      <c r="C35" s="25">
        <f t="shared" si="0"/>
        <v>348</v>
      </c>
    </row>
    <row r="36" spans="1:3" x14ac:dyDescent="0.25">
      <c r="A36" s="10" t="s">
        <v>104</v>
      </c>
      <c r="B36" s="25">
        <v>11.86</v>
      </c>
      <c r="C36" s="25">
        <f>12*B36</f>
        <v>142.32</v>
      </c>
    </row>
    <row r="37" spans="1:3" x14ac:dyDescent="0.25">
      <c r="A37" s="10" t="s">
        <v>51</v>
      </c>
      <c r="B37" s="25">
        <v>31</v>
      </c>
      <c r="C37" s="25">
        <f t="shared" si="0"/>
        <v>372</v>
      </c>
    </row>
    <row r="38" spans="1:3" x14ac:dyDescent="0.25">
      <c r="A38" s="10" t="s">
        <v>52</v>
      </c>
      <c r="B38" s="25">
        <v>44.65</v>
      </c>
      <c r="C38" s="25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72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8" t="s">
        <v>78</v>
      </c>
      <c r="B42" s="108"/>
      <c r="C42" s="108"/>
    </row>
    <row r="43" spans="1:3" x14ac:dyDescent="0.25">
      <c r="A43" s="108"/>
      <c r="B43" s="108"/>
      <c r="C43" s="108"/>
    </row>
    <row r="44" spans="1:3" x14ac:dyDescent="0.25">
      <c r="A44" s="8" t="s">
        <v>106</v>
      </c>
      <c r="B44" s="17">
        <f>'laufende Kosten 2019'!H13</f>
        <v>1212.5</v>
      </c>
    </row>
    <row r="45" spans="1:3" x14ac:dyDescent="0.25">
      <c r="A45" s="8" t="s">
        <v>61</v>
      </c>
      <c r="B45" s="17">
        <f>'laufende Kosten 2019'!H14</f>
        <v>1537.47</v>
      </c>
    </row>
    <row r="46" spans="1:3" x14ac:dyDescent="0.25">
      <c r="A46" s="8" t="s">
        <v>110</v>
      </c>
      <c r="B46" s="17">
        <f>'laufende Kosten 2019'!H9</f>
        <v>1115</v>
      </c>
    </row>
    <row r="47" spans="1:3" x14ac:dyDescent="0.25">
      <c r="A47" s="8" t="s">
        <v>60</v>
      </c>
      <c r="B47" s="17">
        <f>'laufende Kosten 2019'!H17</f>
        <v>381.6</v>
      </c>
    </row>
    <row r="48" spans="1:3" x14ac:dyDescent="0.25">
      <c r="A48" s="8" t="s">
        <v>136</v>
      </c>
      <c r="B48" s="17">
        <f>'laufende Kosten 2019'!H8</f>
        <v>485</v>
      </c>
    </row>
    <row r="50" spans="1:6" ht="18.75" x14ac:dyDescent="0.3">
      <c r="A50" s="6" t="s">
        <v>72</v>
      </c>
      <c r="B50" s="7">
        <f>SUM(B44:B48)</f>
        <v>4731.5700000000006</v>
      </c>
    </row>
    <row r="52" spans="1:6" x14ac:dyDescent="0.25">
      <c r="A52" s="108" t="s">
        <v>53</v>
      </c>
      <c r="B52" s="108"/>
      <c r="C52" s="108"/>
    </row>
    <row r="53" spans="1:6" x14ac:dyDescent="0.25">
      <c r="A53" s="108"/>
      <c r="B53" s="108"/>
      <c r="C53" s="108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144</v>
      </c>
      <c r="B55" s="25">
        <f>C55/12</f>
        <v>315.60666666666663</v>
      </c>
      <c r="C55" s="25">
        <f>'laufende Kosten 2019'!H4+'laufende Kosten 2019'!H5+'laufende Kosten 2019'!H6+'laufende Kosten 2019'!H7</f>
        <v>3787.2799999999997</v>
      </c>
    </row>
    <row r="56" spans="1:6" x14ac:dyDescent="0.25">
      <c r="A56" s="10" t="s">
        <v>159</v>
      </c>
      <c r="B56" s="25">
        <f>C56/12</f>
        <v>9.4249999999999989</v>
      </c>
      <c r="C56" s="25">
        <f>'laufende Kosten 2019'!H16</f>
        <v>113.1</v>
      </c>
    </row>
    <row r="57" spans="1:6" x14ac:dyDescent="0.25">
      <c r="A57" s="10" t="s">
        <v>55</v>
      </c>
      <c r="B57" s="25">
        <v>7.9</v>
      </c>
      <c r="C57" s="25">
        <f>12*B57</f>
        <v>94.800000000000011</v>
      </c>
    </row>
    <row r="58" spans="1:6" x14ac:dyDescent="0.25">
      <c r="A58" s="10" t="s">
        <v>58</v>
      </c>
      <c r="B58" s="25">
        <f>C58/12</f>
        <v>74.75</v>
      </c>
      <c r="C58" s="25">
        <f>'laufende Kosten 2019'!H10</f>
        <v>897</v>
      </c>
    </row>
    <row r="59" spans="1:6" x14ac:dyDescent="0.25">
      <c r="A59" s="10" t="s">
        <v>80</v>
      </c>
      <c r="B59" s="25">
        <f>C59/12</f>
        <v>20.666666666666668</v>
      </c>
      <c r="C59" s="25">
        <f>'laufende Kosten 2019'!H11</f>
        <v>248</v>
      </c>
    </row>
    <row r="61" spans="1:6" ht="18.75" x14ac:dyDescent="0.3">
      <c r="A61" s="6" t="s">
        <v>72</v>
      </c>
      <c r="B61" s="7">
        <f>SUM(C55:C59)</f>
        <v>5140.18</v>
      </c>
      <c r="C61" s="2"/>
    </row>
    <row r="62" spans="1:6" ht="15.75" x14ac:dyDescent="0.25">
      <c r="A62" s="4"/>
      <c r="B62" s="4"/>
    </row>
    <row r="65" spans="1:4" ht="21" x14ac:dyDescent="0.35">
      <c r="A65" s="39" t="s">
        <v>126</v>
      </c>
      <c r="B65" s="40">
        <f>B15+B27+B40+B61+B50</f>
        <v>26338.36</v>
      </c>
      <c r="D65" s="47"/>
    </row>
    <row r="66" spans="1:4" ht="21" x14ac:dyDescent="0.35">
      <c r="A66" s="39" t="s">
        <v>127</v>
      </c>
      <c r="B66" s="40">
        <f>B17+B27+B40+B61+B50</f>
        <v>21760.989999999998</v>
      </c>
    </row>
    <row r="67" spans="1:4" ht="21" x14ac:dyDescent="0.35">
      <c r="A67" s="37"/>
      <c r="B67" s="38"/>
    </row>
    <row r="68" spans="1:4" ht="21" x14ac:dyDescent="0.35">
      <c r="A68" s="41" t="s">
        <v>128</v>
      </c>
      <c r="B68" s="42">
        <f>49828.04-8158.25-8467.54</f>
        <v>33202.25</v>
      </c>
    </row>
    <row r="69" spans="1:4" ht="21" x14ac:dyDescent="0.35">
      <c r="A69" s="41" t="s">
        <v>129</v>
      </c>
      <c r="B69" s="42">
        <v>10500.52</v>
      </c>
    </row>
    <row r="70" spans="1:4" ht="21" x14ac:dyDescent="0.35">
      <c r="A70" s="44" t="s">
        <v>155</v>
      </c>
      <c r="B70" s="45">
        <f>B68+B69</f>
        <v>43702.770000000004</v>
      </c>
    </row>
  </sheetData>
  <mergeCells count="6"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topLeftCell="A145" zoomScale="160" zoomScaleNormal="160" workbookViewId="0">
      <selection activeCell="H23" sqref="H23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8" t="s">
        <v>130</v>
      </c>
      <c r="B1" s="48" t="s">
        <v>143</v>
      </c>
      <c r="C1" s="48"/>
      <c r="D1" s="48"/>
      <c r="E1" s="48"/>
      <c r="F1" s="48"/>
      <c r="G1" s="49" t="s">
        <v>35</v>
      </c>
      <c r="H1" s="48" t="s">
        <v>131</v>
      </c>
      <c r="J1" s="48" t="s">
        <v>132</v>
      </c>
      <c r="Q1" s="48" t="s">
        <v>141</v>
      </c>
      <c r="R1" s="110" t="s">
        <v>142</v>
      </c>
      <c r="S1" s="110"/>
      <c r="T1" s="110"/>
      <c r="U1" s="110"/>
    </row>
    <row r="2" spans="1:21" x14ac:dyDescent="0.25">
      <c r="A2" s="46">
        <v>43466</v>
      </c>
      <c r="B2" s="47">
        <f>SUM(C2:F2)</f>
        <v>10</v>
      </c>
      <c r="C2" s="51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46">
        <v>43467</v>
      </c>
      <c r="B3" s="47">
        <f t="shared" ref="B3:B66" si="1">SUM(C3:F3)</f>
        <v>0</v>
      </c>
      <c r="C3" s="47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46">
        <v>43468</v>
      </c>
      <c r="B4" s="47">
        <f t="shared" si="1"/>
        <v>10</v>
      </c>
      <c r="C4" s="54">
        <v>10</v>
      </c>
      <c r="G4" s="85" t="s">
        <v>164</v>
      </c>
      <c r="H4" s="86">
        <f>SUMIF($R$2:$U$366,Q4,$C$2:$F$366)</f>
        <v>235.89999999999998</v>
      </c>
      <c r="O4" s="85" t="s">
        <v>169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46">
        <v>43469</v>
      </c>
      <c r="B5" s="47">
        <f t="shared" si="1"/>
        <v>35</v>
      </c>
      <c r="C5" s="64">
        <v>35</v>
      </c>
      <c r="G5" s="55" t="s">
        <v>165</v>
      </c>
      <c r="H5" s="87">
        <f t="shared" ref="H5:H17" si="7">SUMIF($R$2:$U$366,Q5,$C$2:$F$366)</f>
        <v>2276.98</v>
      </c>
      <c r="J5" t="s">
        <v>133</v>
      </c>
      <c r="O5" s="55" t="s">
        <v>165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46">
        <v>43470</v>
      </c>
      <c r="B6" s="47">
        <f t="shared" si="1"/>
        <v>0</v>
      </c>
      <c r="C6" s="47">
        <v>0</v>
      </c>
      <c r="G6" s="56" t="s">
        <v>134</v>
      </c>
      <c r="H6" s="88">
        <f>SUMIF($R$2:$U$366,Q6,$C$2:$F$366)</f>
        <v>713.79999999999984</v>
      </c>
      <c r="O6" s="56" t="s">
        <v>134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46">
        <v>43471</v>
      </c>
      <c r="B7" s="47">
        <f t="shared" si="1"/>
        <v>0</v>
      </c>
      <c r="C7" s="47">
        <v>0</v>
      </c>
      <c r="G7" s="57" t="s">
        <v>135</v>
      </c>
      <c r="H7" s="89">
        <f t="shared" si="7"/>
        <v>560.6</v>
      </c>
      <c r="O7" s="57" t="s">
        <v>135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46">
        <v>43472</v>
      </c>
      <c r="B8" s="47">
        <f t="shared" si="1"/>
        <v>35</v>
      </c>
      <c r="C8" s="63">
        <v>5</v>
      </c>
      <c r="D8" s="54">
        <v>30</v>
      </c>
      <c r="G8" s="58" t="s">
        <v>136</v>
      </c>
      <c r="H8" s="90">
        <f t="shared" si="7"/>
        <v>485</v>
      </c>
      <c r="O8" s="58" t="s">
        <v>136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46">
        <v>43473</v>
      </c>
      <c r="B9" s="47">
        <f t="shared" si="1"/>
        <v>30</v>
      </c>
      <c r="C9" s="54">
        <v>30</v>
      </c>
      <c r="G9" s="59" t="s">
        <v>137</v>
      </c>
      <c r="H9" s="91">
        <f t="shared" si="7"/>
        <v>1115</v>
      </c>
      <c r="O9" s="59" t="s">
        <v>137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46">
        <v>43474</v>
      </c>
      <c r="B10" s="47">
        <f t="shared" si="1"/>
        <v>85</v>
      </c>
      <c r="C10" s="52">
        <v>35</v>
      </c>
      <c r="D10" s="65">
        <v>50</v>
      </c>
      <c r="G10" s="60" t="s">
        <v>58</v>
      </c>
      <c r="H10" s="99">
        <f>SUMIF($R$2:$U$366,Q10,$C$2:$F$366)</f>
        <v>897</v>
      </c>
      <c r="J10" t="s">
        <v>138</v>
      </c>
      <c r="O10" s="60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46">
        <v>43475</v>
      </c>
      <c r="B11" s="47">
        <f t="shared" si="1"/>
        <v>0</v>
      </c>
      <c r="C11">
        <v>0</v>
      </c>
      <c r="G11" s="61" t="s">
        <v>80</v>
      </c>
      <c r="H11" s="92">
        <f t="shared" si="7"/>
        <v>248</v>
      </c>
      <c r="O11" s="61" t="s">
        <v>80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46">
        <v>43476</v>
      </c>
      <c r="B12" s="47">
        <f t="shared" si="1"/>
        <v>429.4</v>
      </c>
      <c r="C12" s="66">
        <v>400</v>
      </c>
      <c r="D12" s="63">
        <v>6.4</v>
      </c>
      <c r="E12" s="53">
        <v>23</v>
      </c>
      <c r="G12" s="62" t="s">
        <v>139</v>
      </c>
      <c r="H12" s="93">
        <f t="shared" si="7"/>
        <v>523.1</v>
      </c>
      <c r="J12" t="s">
        <v>140</v>
      </c>
      <c r="O12" s="62" t="s">
        <v>139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46">
        <v>43477</v>
      </c>
      <c r="B13" s="47">
        <f t="shared" si="1"/>
        <v>46.83</v>
      </c>
      <c r="C13" s="50">
        <v>46.83</v>
      </c>
      <c r="G13" s="69" t="s">
        <v>167</v>
      </c>
      <c r="H13" s="97">
        <f t="shared" si="7"/>
        <v>1212.5</v>
      </c>
      <c r="O13" s="69" t="s">
        <v>168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46">
        <v>43478</v>
      </c>
      <c r="B14" s="47">
        <f t="shared" si="1"/>
        <v>0</v>
      </c>
      <c r="C14" s="47">
        <v>0</v>
      </c>
      <c r="G14" s="70" t="s">
        <v>61</v>
      </c>
      <c r="H14" s="94">
        <f t="shared" si="7"/>
        <v>1537.47</v>
      </c>
      <c r="O14" s="70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46">
        <v>43479</v>
      </c>
      <c r="B15" s="47">
        <f t="shared" si="1"/>
        <v>10.8</v>
      </c>
      <c r="C15" s="63">
        <v>7</v>
      </c>
      <c r="D15" s="51">
        <v>3.8</v>
      </c>
      <c r="G15" s="72" t="s">
        <v>34</v>
      </c>
      <c r="H15" s="98">
        <f t="shared" si="7"/>
        <v>1186.3</v>
      </c>
      <c r="O15" s="72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46">
        <v>43480</v>
      </c>
      <c r="B16" s="47">
        <f t="shared" si="1"/>
        <v>5.0999999999999996</v>
      </c>
      <c r="C16" s="63">
        <v>5.0999999999999996</v>
      </c>
      <c r="G16" s="79" t="s">
        <v>159</v>
      </c>
      <c r="H16" s="95">
        <f t="shared" si="7"/>
        <v>113.1</v>
      </c>
      <c r="O16" s="74" t="s">
        <v>158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46">
        <v>43481</v>
      </c>
      <c r="B17" s="47">
        <f t="shared" si="1"/>
        <v>5</v>
      </c>
      <c r="C17" s="63">
        <v>5</v>
      </c>
      <c r="G17" s="78" t="s">
        <v>60</v>
      </c>
      <c r="H17" s="96">
        <f t="shared" si="7"/>
        <v>381.6</v>
      </c>
      <c r="O17" s="76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46">
        <v>43482</v>
      </c>
      <c r="B18" s="47">
        <f t="shared" si="1"/>
        <v>8</v>
      </c>
      <c r="C18" s="63">
        <v>3</v>
      </c>
      <c r="D18" s="54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46">
        <v>43483</v>
      </c>
      <c r="B19" s="47">
        <f t="shared" si="1"/>
        <v>4.4000000000000004</v>
      </c>
      <c r="C19" s="63">
        <v>4.4000000000000004</v>
      </c>
      <c r="G19" s="82" t="s">
        <v>131</v>
      </c>
      <c r="H19" s="83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46">
        <v>43484</v>
      </c>
      <c r="B20" s="47">
        <f t="shared" si="1"/>
        <v>68.47</v>
      </c>
      <c r="C20" s="54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46">
        <v>43485</v>
      </c>
      <c r="B21" s="47">
        <f t="shared" si="1"/>
        <v>0</v>
      </c>
      <c r="C21" s="47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46">
        <v>43486</v>
      </c>
      <c r="B22" s="47">
        <f t="shared" si="1"/>
        <v>4</v>
      </c>
      <c r="C22" s="63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46">
        <v>43487</v>
      </c>
      <c r="B23" s="47">
        <f t="shared" si="1"/>
        <v>11</v>
      </c>
      <c r="C23" s="63">
        <v>8</v>
      </c>
      <c r="D23" s="54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46">
        <v>43488</v>
      </c>
      <c r="B24" s="47">
        <f t="shared" si="1"/>
        <v>0</v>
      </c>
      <c r="C24" s="47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46">
        <v>43489</v>
      </c>
      <c r="B25" s="47">
        <f t="shared" si="1"/>
        <v>36.5</v>
      </c>
      <c r="C25" s="63">
        <v>7.5</v>
      </c>
      <c r="D25" s="54">
        <v>29</v>
      </c>
      <c r="J25" t="s">
        <v>145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46">
        <v>43490</v>
      </c>
      <c r="B26" s="47">
        <f t="shared" si="1"/>
        <v>11.73</v>
      </c>
      <c r="C26" s="54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46">
        <v>43491</v>
      </c>
      <c r="B27" s="47">
        <f t="shared" si="1"/>
        <v>0</v>
      </c>
      <c r="C27" s="47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46">
        <v>43492</v>
      </c>
      <c r="B28" s="47">
        <f t="shared" si="1"/>
        <v>0</v>
      </c>
      <c r="C28" s="47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46">
        <v>43493</v>
      </c>
      <c r="B29" s="47">
        <f t="shared" si="1"/>
        <v>251</v>
      </c>
      <c r="C29" s="63">
        <v>3</v>
      </c>
      <c r="D29" s="54">
        <v>3</v>
      </c>
      <c r="E29" s="66">
        <v>15</v>
      </c>
      <c r="F29" s="68">
        <v>230</v>
      </c>
      <c r="J29" t="s">
        <v>173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46">
        <v>43494</v>
      </c>
      <c r="B30" s="47">
        <f t="shared" si="1"/>
        <v>17</v>
      </c>
      <c r="C30" s="54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46">
        <v>43495</v>
      </c>
      <c r="B31" s="47">
        <f t="shared" si="1"/>
        <v>19.600000000000001</v>
      </c>
      <c r="C31" s="63">
        <v>4.0999999999999996</v>
      </c>
      <c r="D31" s="51">
        <v>5</v>
      </c>
      <c r="E31" s="54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46">
        <v>43496</v>
      </c>
      <c r="B32" s="47">
        <f t="shared" si="1"/>
        <v>4.5</v>
      </c>
      <c r="C32" s="63">
        <v>2</v>
      </c>
      <c r="D32" s="54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46">
        <v>43497</v>
      </c>
      <c r="B33" s="47">
        <f t="shared" si="1"/>
        <v>3.7</v>
      </c>
      <c r="C33" s="63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46">
        <v>43498</v>
      </c>
      <c r="B34" s="47">
        <f t="shared" si="1"/>
        <v>0</v>
      </c>
      <c r="C34" s="47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46">
        <v>43499</v>
      </c>
      <c r="B35" s="47">
        <f t="shared" si="1"/>
        <v>12</v>
      </c>
      <c r="C35" s="68">
        <v>12</v>
      </c>
      <c r="J35" s="67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46">
        <v>43500</v>
      </c>
      <c r="B36" s="47">
        <f t="shared" si="1"/>
        <v>13.2</v>
      </c>
      <c r="C36" s="63">
        <v>3.2</v>
      </c>
      <c r="D36" s="54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46">
        <v>43501</v>
      </c>
      <c r="B37" s="47">
        <f t="shared" si="1"/>
        <v>65.5</v>
      </c>
      <c r="C37" s="63">
        <v>0.5</v>
      </c>
      <c r="D37" s="54">
        <v>9</v>
      </c>
      <c r="E37" s="68">
        <v>56</v>
      </c>
      <c r="J37" t="s">
        <v>148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46">
        <v>43502</v>
      </c>
      <c r="B38" s="47">
        <f t="shared" si="1"/>
        <v>10</v>
      </c>
      <c r="C38" s="63">
        <v>3</v>
      </c>
      <c r="D38" s="54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46">
        <v>43503</v>
      </c>
      <c r="B39" s="47">
        <f t="shared" si="1"/>
        <v>39</v>
      </c>
      <c r="C39" s="63">
        <v>4</v>
      </c>
      <c r="D39" s="54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46">
        <v>43504</v>
      </c>
      <c r="B40" s="47">
        <f t="shared" si="1"/>
        <v>44.89</v>
      </c>
      <c r="C40" s="50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46">
        <v>43505</v>
      </c>
      <c r="B41" s="47">
        <f t="shared" si="1"/>
        <v>140</v>
      </c>
      <c r="C41" s="68">
        <v>140</v>
      </c>
      <c r="J41" t="s">
        <v>150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46">
        <v>43506</v>
      </c>
      <c r="B42" s="47">
        <f t="shared" si="1"/>
        <v>0</v>
      </c>
      <c r="C42" s="47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46">
        <v>43507</v>
      </c>
      <c r="B43" s="47">
        <f t="shared" si="1"/>
        <v>45.879999999999995</v>
      </c>
      <c r="C43" s="53">
        <v>22</v>
      </c>
      <c r="D43" s="54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46">
        <v>43508</v>
      </c>
      <c r="B44" s="47">
        <f t="shared" si="1"/>
        <v>10.5</v>
      </c>
      <c r="C44" s="63">
        <v>3</v>
      </c>
      <c r="D44" s="54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46">
        <v>43509</v>
      </c>
      <c r="B45" s="47">
        <f t="shared" si="1"/>
        <v>0</v>
      </c>
      <c r="C45" s="47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46">
        <v>43510</v>
      </c>
      <c r="B46" s="47">
        <f t="shared" si="1"/>
        <v>124</v>
      </c>
      <c r="C46" s="63">
        <v>3</v>
      </c>
      <c r="D46" s="54">
        <v>1</v>
      </c>
      <c r="E46" s="52">
        <v>120</v>
      </c>
      <c r="J46" t="s">
        <v>149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46">
        <v>43511</v>
      </c>
      <c r="B47" s="47">
        <f t="shared" si="1"/>
        <v>5.0999999999999996</v>
      </c>
      <c r="C47" s="63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46">
        <v>43512</v>
      </c>
      <c r="B48" s="47">
        <f t="shared" si="1"/>
        <v>0</v>
      </c>
      <c r="C48" s="47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46">
        <v>43513</v>
      </c>
      <c r="B49" s="47">
        <f t="shared" si="1"/>
        <v>0</v>
      </c>
      <c r="C49" s="47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46">
        <v>43514</v>
      </c>
      <c r="B50" s="47">
        <f t="shared" si="1"/>
        <v>14</v>
      </c>
      <c r="C50" s="63">
        <v>5</v>
      </c>
      <c r="D50" s="51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46">
        <v>43515</v>
      </c>
      <c r="B51" s="47">
        <f t="shared" si="1"/>
        <v>7</v>
      </c>
      <c r="C51" s="63">
        <v>4</v>
      </c>
      <c r="D51" s="54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46">
        <v>43516</v>
      </c>
      <c r="B52" s="47">
        <f t="shared" si="1"/>
        <v>11</v>
      </c>
      <c r="C52" s="54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46">
        <v>43517</v>
      </c>
      <c r="B53" s="47">
        <f t="shared" si="1"/>
        <v>30</v>
      </c>
      <c r="C53" s="63">
        <v>3</v>
      </c>
      <c r="D53" s="54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46">
        <v>43518</v>
      </c>
      <c r="B54" s="47">
        <f t="shared" si="1"/>
        <v>15</v>
      </c>
      <c r="C54" s="52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46">
        <v>43519</v>
      </c>
      <c r="B55" s="47">
        <f t="shared" si="1"/>
        <v>4</v>
      </c>
      <c r="C55" s="54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46">
        <v>43520</v>
      </c>
      <c r="B56" s="47">
        <f t="shared" si="1"/>
        <v>0</v>
      </c>
      <c r="C56" s="47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46">
        <v>43521</v>
      </c>
      <c r="B57" s="47">
        <f t="shared" si="1"/>
        <v>173.97</v>
      </c>
      <c r="C57" s="63">
        <v>4.5</v>
      </c>
      <c r="D57" s="80">
        <v>138.47</v>
      </c>
      <c r="E57" s="54">
        <v>31</v>
      </c>
      <c r="J57" t="s">
        <v>152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46">
        <v>43522</v>
      </c>
      <c r="B58" s="47">
        <f t="shared" si="1"/>
        <v>24</v>
      </c>
      <c r="C58" s="63">
        <v>4</v>
      </c>
      <c r="D58" s="54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46">
        <v>43523</v>
      </c>
      <c r="B59" s="47">
        <f t="shared" si="1"/>
        <v>9</v>
      </c>
      <c r="C59" s="63">
        <v>4</v>
      </c>
      <c r="D59" s="54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46">
        <v>43524</v>
      </c>
      <c r="B60" s="47">
        <f t="shared" si="1"/>
        <v>46</v>
      </c>
      <c r="C60" s="63">
        <v>3</v>
      </c>
      <c r="D60" s="54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46">
        <v>43525</v>
      </c>
      <c r="B61" s="47">
        <f t="shared" si="1"/>
        <v>9</v>
      </c>
      <c r="C61" s="51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46">
        <v>43526</v>
      </c>
      <c r="B62" s="47">
        <f t="shared" si="1"/>
        <v>0</v>
      </c>
      <c r="C62" s="47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46">
        <v>43527</v>
      </c>
      <c r="B63" s="47">
        <f t="shared" si="1"/>
        <v>0</v>
      </c>
      <c r="C63" s="47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46">
        <v>43528</v>
      </c>
      <c r="B64" s="47">
        <f t="shared" si="1"/>
        <v>10</v>
      </c>
      <c r="C64" s="63">
        <v>5</v>
      </c>
      <c r="D64" s="54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46">
        <v>43529</v>
      </c>
      <c r="B65" s="47">
        <f t="shared" si="1"/>
        <v>39.799999999999997</v>
      </c>
      <c r="C65" s="63">
        <v>2</v>
      </c>
      <c r="D65" s="54">
        <v>4</v>
      </c>
      <c r="E65" s="50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46">
        <v>43530</v>
      </c>
      <c r="B66" s="47">
        <f t="shared" si="1"/>
        <v>43</v>
      </c>
      <c r="C66" s="63">
        <v>4</v>
      </c>
      <c r="D66" s="54">
        <v>4</v>
      </c>
      <c r="E66" s="71">
        <v>35</v>
      </c>
      <c r="J66" t="s">
        <v>154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46">
        <v>43531</v>
      </c>
      <c r="B67" s="47">
        <f t="shared" ref="B67:B130" si="8">SUM(C67:F67)</f>
        <v>6.3</v>
      </c>
      <c r="C67" s="54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46">
        <v>43532</v>
      </c>
      <c r="B68" s="47">
        <f t="shared" si="8"/>
        <v>24.4</v>
      </c>
      <c r="C68" s="63">
        <v>2.4</v>
      </c>
      <c r="D68" s="53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46">
        <v>43533</v>
      </c>
      <c r="B69" s="47">
        <f t="shared" si="8"/>
        <v>10</v>
      </c>
      <c r="C69" s="54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46">
        <v>43534</v>
      </c>
      <c r="B70" s="47">
        <f t="shared" si="8"/>
        <v>0</v>
      </c>
      <c r="C70" s="47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46">
        <v>43535</v>
      </c>
      <c r="B71" s="47">
        <f t="shared" si="8"/>
        <v>11.3</v>
      </c>
      <c r="C71" s="63">
        <v>4</v>
      </c>
      <c r="D71" s="54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46">
        <v>43536</v>
      </c>
      <c r="B72" s="47">
        <f t="shared" si="8"/>
        <v>7.3</v>
      </c>
      <c r="C72" s="54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46">
        <v>43537</v>
      </c>
      <c r="B73" s="47">
        <f t="shared" si="8"/>
        <v>8</v>
      </c>
      <c r="C73" s="63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46">
        <v>43538</v>
      </c>
      <c r="B74" s="47">
        <f t="shared" si="8"/>
        <v>6.3</v>
      </c>
      <c r="C74" s="63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46">
        <v>43539</v>
      </c>
      <c r="B75" s="47">
        <f t="shared" si="8"/>
        <v>25</v>
      </c>
      <c r="C75" s="54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46">
        <v>43540</v>
      </c>
      <c r="B76" s="47">
        <f t="shared" si="8"/>
        <v>145</v>
      </c>
      <c r="C76" s="75">
        <v>125</v>
      </c>
      <c r="D76" s="77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46">
        <v>43541</v>
      </c>
      <c r="B77" s="47">
        <f t="shared" si="8"/>
        <v>0</v>
      </c>
      <c r="C77" s="47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46">
        <v>43542</v>
      </c>
      <c r="B78" s="47">
        <f t="shared" si="8"/>
        <v>0</v>
      </c>
      <c r="C78" s="47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46">
        <v>43543</v>
      </c>
      <c r="B79" s="47">
        <f t="shared" si="8"/>
        <v>8.1</v>
      </c>
      <c r="C79" s="63">
        <v>4.3</v>
      </c>
      <c r="D79" s="54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46">
        <v>43544</v>
      </c>
      <c r="B80" s="47">
        <f t="shared" si="8"/>
        <v>17.5</v>
      </c>
      <c r="C80" s="63">
        <v>4.5999999999999996</v>
      </c>
      <c r="D80" s="73">
        <v>6.1</v>
      </c>
      <c r="E80" s="54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46">
        <v>43545</v>
      </c>
      <c r="B81" s="47">
        <f t="shared" si="8"/>
        <v>3</v>
      </c>
      <c r="C81" s="63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46">
        <v>43546</v>
      </c>
      <c r="B82" s="47">
        <f t="shared" si="8"/>
        <v>7.2</v>
      </c>
      <c r="C82" s="63">
        <v>3</v>
      </c>
      <c r="D82" s="54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46">
        <v>43547</v>
      </c>
      <c r="B83" s="47">
        <f t="shared" si="8"/>
        <v>0</v>
      </c>
      <c r="C83" s="47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46">
        <v>43548</v>
      </c>
      <c r="B84" s="47">
        <f t="shared" si="8"/>
        <v>0</v>
      </c>
      <c r="C84" s="47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46">
        <v>43549</v>
      </c>
      <c r="B85" s="47">
        <f t="shared" si="8"/>
        <v>23</v>
      </c>
      <c r="C85" s="63">
        <v>3</v>
      </c>
      <c r="D85" s="54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46">
        <v>43550</v>
      </c>
      <c r="B86" s="47">
        <f t="shared" si="8"/>
        <v>11.62</v>
      </c>
      <c r="C86" s="47">
        <v>0</v>
      </c>
      <c r="D86" s="50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46">
        <v>43551</v>
      </c>
      <c r="B87" s="47">
        <f t="shared" si="8"/>
        <v>33.1</v>
      </c>
      <c r="C87" s="63">
        <v>5.5</v>
      </c>
      <c r="D87" s="50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46">
        <v>43552</v>
      </c>
      <c r="B88" s="47">
        <f t="shared" si="8"/>
        <v>6</v>
      </c>
      <c r="C88" s="63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46">
        <v>43553</v>
      </c>
      <c r="B89" s="47">
        <f t="shared" si="8"/>
        <v>0</v>
      </c>
      <c r="C89" s="47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46">
        <v>43554</v>
      </c>
      <c r="B90" s="47">
        <f t="shared" si="8"/>
        <v>0</v>
      </c>
      <c r="C90" s="47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46">
        <v>43555</v>
      </c>
      <c r="B91" s="47">
        <f t="shared" si="8"/>
        <v>0</v>
      </c>
      <c r="C91" s="47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46">
        <v>43556</v>
      </c>
      <c r="B92" s="47">
        <f t="shared" si="8"/>
        <v>16.600000000000001</v>
      </c>
      <c r="C92" s="63">
        <v>3.1</v>
      </c>
      <c r="D92" s="54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46">
        <v>43557</v>
      </c>
      <c r="B93" s="47">
        <f t="shared" si="8"/>
        <v>11</v>
      </c>
      <c r="C93" s="63">
        <v>3</v>
      </c>
      <c r="D93" s="54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46">
        <v>43558</v>
      </c>
      <c r="B94" s="47">
        <f t="shared" si="8"/>
        <v>23.3</v>
      </c>
      <c r="C94" s="63">
        <v>4.3</v>
      </c>
      <c r="D94" s="54">
        <v>8</v>
      </c>
      <c r="E94" s="68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46">
        <v>43559</v>
      </c>
      <c r="B95" s="47">
        <f t="shared" si="8"/>
        <v>22</v>
      </c>
      <c r="C95" s="53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46">
        <v>43560</v>
      </c>
      <c r="B96" s="47">
        <f t="shared" si="8"/>
        <v>23.3</v>
      </c>
      <c r="C96" s="63">
        <v>4.3</v>
      </c>
      <c r="D96" s="54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46">
        <v>43561</v>
      </c>
      <c r="B97" s="47">
        <f t="shared" si="8"/>
        <v>0</v>
      </c>
      <c r="C97" s="47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46">
        <v>43562</v>
      </c>
      <c r="B98" s="47">
        <f t="shared" si="8"/>
        <v>12.3</v>
      </c>
      <c r="C98" s="51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46">
        <v>43563</v>
      </c>
      <c r="B99" s="47">
        <f t="shared" si="8"/>
        <v>4</v>
      </c>
      <c r="C99" s="63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46">
        <v>43564</v>
      </c>
      <c r="B100" s="47">
        <f t="shared" si="8"/>
        <v>0</v>
      </c>
      <c r="C100" s="47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46">
        <v>43565</v>
      </c>
      <c r="B101" s="47">
        <f t="shared" si="8"/>
        <v>21</v>
      </c>
      <c r="C101" s="54">
        <v>10</v>
      </c>
      <c r="D101" s="68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46">
        <v>43566</v>
      </c>
      <c r="B102" s="47">
        <f t="shared" si="8"/>
        <v>20</v>
      </c>
      <c r="C102" s="63">
        <v>7</v>
      </c>
      <c r="D102" s="54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46">
        <v>43567</v>
      </c>
      <c r="B103" s="47">
        <f t="shared" si="8"/>
        <v>5</v>
      </c>
      <c r="C103" s="63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46">
        <v>43568</v>
      </c>
      <c r="B104" s="47">
        <f t="shared" si="8"/>
        <v>0</v>
      </c>
      <c r="C104" s="47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46">
        <v>43569</v>
      </c>
      <c r="B105" s="47">
        <f t="shared" si="8"/>
        <v>0</v>
      </c>
      <c r="C105" s="47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46">
        <v>43570</v>
      </c>
      <c r="B106" s="47">
        <f t="shared" si="8"/>
        <v>15</v>
      </c>
      <c r="C106" s="54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46">
        <v>43571</v>
      </c>
      <c r="B107" s="47">
        <f t="shared" si="8"/>
        <v>15</v>
      </c>
      <c r="C107" s="54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46">
        <v>43572</v>
      </c>
      <c r="B108" s="47">
        <f t="shared" si="8"/>
        <v>17</v>
      </c>
      <c r="C108" s="54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46">
        <v>43573</v>
      </c>
      <c r="B109" s="47">
        <f t="shared" si="8"/>
        <v>30</v>
      </c>
      <c r="C109" s="54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46">
        <v>43574</v>
      </c>
      <c r="B110" s="47">
        <f t="shared" si="8"/>
        <v>0</v>
      </c>
      <c r="C110" s="47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46">
        <v>43575</v>
      </c>
      <c r="B111" s="47">
        <f t="shared" si="8"/>
        <v>60</v>
      </c>
      <c r="C111" s="54">
        <v>40</v>
      </c>
      <c r="D111" s="73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46">
        <v>43576</v>
      </c>
      <c r="B112" s="47">
        <f t="shared" si="8"/>
        <v>70</v>
      </c>
      <c r="C112" s="73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46">
        <v>43577</v>
      </c>
      <c r="B113" s="47">
        <f t="shared" si="8"/>
        <v>0</v>
      </c>
      <c r="C113" s="47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46">
        <v>43578</v>
      </c>
      <c r="B114" s="47">
        <f t="shared" si="8"/>
        <v>0</v>
      </c>
      <c r="C114" s="47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46">
        <v>43579</v>
      </c>
      <c r="B115" s="47">
        <f t="shared" si="8"/>
        <v>0</v>
      </c>
      <c r="C115" s="47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46">
        <v>43580</v>
      </c>
      <c r="B116" s="47">
        <f t="shared" si="8"/>
        <v>0</v>
      </c>
      <c r="C116" s="47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46">
        <v>43581</v>
      </c>
      <c r="B117" s="47">
        <f t="shared" si="8"/>
        <v>16</v>
      </c>
      <c r="C117" s="51">
        <v>9</v>
      </c>
      <c r="D117" s="54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46">
        <v>43582</v>
      </c>
      <c r="B118" s="47">
        <f t="shared" si="8"/>
        <v>0</v>
      </c>
      <c r="C118" s="47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46">
        <v>43583</v>
      </c>
      <c r="B119" s="47">
        <f t="shared" si="8"/>
        <v>0</v>
      </c>
      <c r="C119" s="47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46">
        <v>43584</v>
      </c>
      <c r="B120" s="47">
        <f t="shared" si="8"/>
        <v>0</v>
      </c>
      <c r="C120" s="47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46">
        <v>43585</v>
      </c>
      <c r="B121" s="47">
        <f t="shared" si="8"/>
        <v>26</v>
      </c>
      <c r="C121" s="73">
        <v>6</v>
      </c>
      <c r="D121" s="54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46">
        <v>43586</v>
      </c>
      <c r="B122" s="47">
        <f t="shared" si="8"/>
        <v>0</v>
      </c>
      <c r="C122" s="47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46">
        <v>43587</v>
      </c>
      <c r="B123" s="47">
        <f t="shared" si="8"/>
        <v>59</v>
      </c>
      <c r="C123" s="63">
        <v>6</v>
      </c>
      <c r="D123" s="73">
        <v>11</v>
      </c>
      <c r="E123" s="53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46">
        <v>43588</v>
      </c>
      <c r="B124" s="47">
        <f t="shared" si="8"/>
        <v>40.6</v>
      </c>
      <c r="C124" s="63">
        <v>3</v>
      </c>
      <c r="D124" s="54">
        <v>22.6</v>
      </c>
      <c r="E124" s="64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46">
        <v>43589</v>
      </c>
      <c r="B125" s="47">
        <f t="shared" si="8"/>
        <v>19.399999999999999</v>
      </c>
      <c r="C125" s="51">
        <v>11.5</v>
      </c>
      <c r="D125" s="51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46">
        <v>43590</v>
      </c>
      <c r="B126" s="47">
        <f t="shared" si="8"/>
        <v>0</v>
      </c>
      <c r="C126" s="47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46">
        <v>43591</v>
      </c>
      <c r="B127" s="47">
        <f t="shared" si="8"/>
        <v>3</v>
      </c>
      <c r="C127" s="63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46">
        <v>43592</v>
      </c>
      <c r="B128" s="47">
        <f t="shared" si="8"/>
        <v>62.09</v>
      </c>
      <c r="C128" s="63">
        <v>4.0999999999999996</v>
      </c>
      <c r="D128" s="54">
        <v>21.4</v>
      </c>
      <c r="E128" s="50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46">
        <v>43593</v>
      </c>
      <c r="B129" s="47">
        <f t="shared" si="8"/>
        <v>5.0999999999999996</v>
      </c>
      <c r="C129" s="63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46">
        <v>43594</v>
      </c>
      <c r="B130" s="47">
        <f t="shared" si="8"/>
        <v>0</v>
      </c>
      <c r="C130" s="47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46">
        <v>43595</v>
      </c>
      <c r="B131" s="47">
        <f t="shared" ref="B131:B194" si="17">SUM(C131:F131)</f>
        <v>54.6</v>
      </c>
      <c r="C131" s="63">
        <v>6</v>
      </c>
      <c r="D131" s="77">
        <v>26.6</v>
      </c>
      <c r="E131" s="54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46">
        <v>43596</v>
      </c>
      <c r="B132" s="47">
        <f t="shared" si="17"/>
        <v>66</v>
      </c>
      <c r="C132" s="54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46">
        <v>43597</v>
      </c>
      <c r="B133" s="47">
        <f t="shared" si="17"/>
        <v>0</v>
      </c>
      <c r="C133" s="47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46">
        <v>43598</v>
      </c>
      <c r="B134" s="47">
        <f t="shared" si="17"/>
        <v>6.5</v>
      </c>
      <c r="C134" s="63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46">
        <v>43599</v>
      </c>
      <c r="B135" s="47">
        <f t="shared" si="17"/>
        <v>4.5</v>
      </c>
      <c r="C135" s="63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46">
        <v>43600</v>
      </c>
      <c r="B136" s="47">
        <f t="shared" si="17"/>
        <v>4.5</v>
      </c>
      <c r="C136" s="63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46">
        <v>43601</v>
      </c>
      <c r="B137" s="47">
        <f t="shared" si="17"/>
        <v>13.5</v>
      </c>
      <c r="C137" s="63">
        <v>4.0999999999999996</v>
      </c>
      <c r="D137" s="54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46">
        <v>43602</v>
      </c>
      <c r="B138" s="47">
        <f t="shared" si="17"/>
        <v>29.5</v>
      </c>
      <c r="C138" s="63">
        <v>10.5</v>
      </c>
      <c r="D138" s="54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46">
        <v>43603</v>
      </c>
      <c r="B139" s="47">
        <f t="shared" si="17"/>
        <v>53.7</v>
      </c>
      <c r="C139" s="52">
        <v>15</v>
      </c>
      <c r="D139" s="51">
        <v>8.6999999999999993</v>
      </c>
      <c r="E139" s="64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46">
        <v>43604</v>
      </c>
      <c r="B140" s="47">
        <f t="shared" si="17"/>
        <v>0</v>
      </c>
      <c r="C140" s="47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46">
        <v>43605</v>
      </c>
      <c r="B141" s="47">
        <f t="shared" si="17"/>
        <v>6.5</v>
      </c>
      <c r="C141" s="63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46">
        <v>43606</v>
      </c>
      <c r="B142" s="47">
        <f t="shared" si="17"/>
        <v>46.5</v>
      </c>
      <c r="C142" s="63">
        <v>8.5</v>
      </c>
      <c r="D142" s="52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46">
        <v>43607</v>
      </c>
      <c r="B143" s="47">
        <f t="shared" si="17"/>
        <v>4</v>
      </c>
      <c r="C143" s="63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46">
        <v>43608</v>
      </c>
      <c r="B144" s="47">
        <f t="shared" si="17"/>
        <v>3</v>
      </c>
      <c r="C144" s="63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46">
        <v>43609</v>
      </c>
      <c r="B145" s="47">
        <f t="shared" si="17"/>
        <v>105.1</v>
      </c>
      <c r="C145" s="63">
        <v>5.0999999999999996</v>
      </c>
      <c r="D145" s="65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46">
        <v>43610</v>
      </c>
      <c r="B146" s="47">
        <f t="shared" si="17"/>
        <v>0</v>
      </c>
      <c r="C146" s="47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46">
        <v>43611</v>
      </c>
      <c r="B147" s="47">
        <f t="shared" si="17"/>
        <v>400</v>
      </c>
      <c r="C147" s="80">
        <v>400</v>
      </c>
      <c r="J147" t="s">
        <v>160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46">
        <v>43612</v>
      </c>
      <c r="B148" s="47">
        <f t="shared" si="17"/>
        <v>350</v>
      </c>
      <c r="C148" s="80">
        <v>350</v>
      </c>
      <c r="J148" t="s">
        <v>161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46">
        <v>43613</v>
      </c>
      <c r="B149" s="47">
        <f t="shared" si="17"/>
        <v>35</v>
      </c>
      <c r="C149" s="80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46">
        <v>43614</v>
      </c>
      <c r="B150" s="47">
        <f t="shared" si="17"/>
        <v>40</v>
      </c>
      <c r="C150" s="80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46">
        <v>43615</v>
      </c>
      <c r="B151" s="47">
        <f t="shared" si="17"/>
        <v>174</v>
      </c>
      <c r="C151" s="80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46">
        <v>43616</v>
      </c>
      <c r="B152" s="47">
        <f t="shared" si="17"/>
        <v>60</v>
      </c>
      <c r="C152" s="80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46">
        <v>43617</v>
      </c>
      <c r="B153" s="47">
        <f t="shared" si="17"/>
        <v>0</v>
      </c>
      <c r="C153" s="47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46">
        <v>43618</v>
      </c>
      <c r="B154" s="47">
        <f t="shared" si="17"/>
        <v>0</v>
      </c>
      <c r="C154" s="47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46">
        <v>43619</v>
      </c>
      <c r="B155" s="47">
        <f t="shared" si="17"/>
        <v>5.0999999999999996</v>
      </c>
      <c r="C155" s="63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46">
        <v>43620</v>
      </c>
      <c r="B156" s="47">
        <f t="shared" si="17"/>
        <v>13.9</v>
      </c>
      <c r="C156" s="63">
        <v>4.5</v>
      </c>
      <c r="D156" s="54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46">
        <v>43621</v>
      </c>
      <c r="B157" s="47">
        <f t="shared" si="17"/>
        <v>19</v>
      </c>
      <c r="C157" s="63">
        <v>4</v>
      </c>
      <c r="D157" s="54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46">
        <v>43622</v>
      </c>
      <c r="B158" s="47">
        <f t="shared" si="17"/>
        <v>48</v>
      </c>
      <c r="C158" s="63">
        <v>3</v>
      </c>
      <c r="D158" s="54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46">
        <v>43623</v>
      </c>
      <c r="B159" s="47">
        <f t="shared" si="17"/>
        <v>274.5</v>
      </c>
      <c r="C159" s="63">
        <v>4.5</v>
      </c>
      <c r="D159" s="68">
        <v>210</v>
      </c>
      <c r="E159" s="64">
        <v>60</v>
      </c>
      <c r="J159" t="s">
        <v>162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46">
        <v>43624</v>
      </c>
      <c r="B160" s="47">
        <f t="shared" si="17"/>
        <v>20</v>
      </c>
      <c r="C160" s="52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46">
        <v>43625</v>
      </c>
      <c r="B161" s="47">
        <f t="shared" si="17"/>
        <v>0</v>
      </c>
      <c r="C161" s="47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46">
        <v>43626</v>
      </c>
      <c r="B162" s="47">
        <f t="shared" si="17"/>
        <v>0</v>
      </c>
      <c r="C162" s="47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46">
        <v>43627</v>
      </c>
      <c r="B163" s="47">
        <f t="shared" si="17"/>
        <v>9.4</v>
      </c>
      <c r="C163" s="63">
        <v>3</v>
      </c>
      <c r="D163" s="54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46">
        <v>43628</v>
      </c>
      <c r="B164" s="47">
        <f t="shared" si="17"/>
        <v>4</v>
      </c>
      <c r="C164" s="63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46">
        <v>43629</v>
      </c>
      <c r="B165" s="47">
        <f t="shared" si="17"/>
        <v>24</v>
      </c>
      <c r="C165" s="63">
        <v>4</v>
      </c>
      <c r="D165" s="54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46">
        <v>43630</v>
      </c>
      <c r="B166" s="47">
        <f t="shared" si="17"/>
        <v>22</v>
      </c>
      <c r="C166" s="51">
        <v>12</v>
      </c>
      <c r="D166" s="64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46">
        <v>43631</v>
      </c>
      <c r="B167" s="47">
        <f t="shared" si="17"/>
        <v>37</v>
      </c>
      <c r="C167" s="54">
        <v>17</v>
      </c>
      <c r="D167" s="64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46">
        <v>43632</v>
      </c>
      <c r="B168" s="47">
        <f t="shared" si="17"/>
        <v>0</v>
      </c>
      <c r="C168" s="47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46">
        <v>43633</v>
      </c>
      <c r="B169" s="47">
        <f t="shared" si="17"/>
        <v>3</v>
      </c>
      <c r="C169" s="63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46">
        <v>43634</v>
      </c>
      <c r="B170" s="47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46">
        <v>43635</v>
      </c>
      <c r="B171" s="47">
        <f t="shared" si="17"/>
        <v>21</v>
      </c>
      <c r="C171" s="63">
        <v>4</v>
      </c>
      <c r="D171" s="64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46">
        <v>43636</v>
      </c>
      <c r="B172" s="47">
        <f t="shared" si="17"/>
        <v>0</v>
      </c>
      <c r="C172" s="47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46">
        <v>43637</v>
      </c>
      <c r="B173" s="47">
        <f t="shared" si="17"/>
        <v>0</v>
      </c>
      <c r="C173" s="47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46">
        <v>43638</v>
      </c>
      <c r="B174" s="47">
        <f t="shared" si="17"/>
        <v>60</v>
      </c>
      <c r="C174" s="54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46">
        <v>43639</v>
      </c>
      <c r="B175" s="47">
        <f t="shared" si="17"/>
        <v>0</v>
      </c>
      <c r="C175" s="47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46">
        <v>43640</v>
      </c>
      <c r="B176" s="47">
        <f t="shared" si="17"/>
        <v>4.5</v>
      </c>
      <c r="C176" s="63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46">
        <v>43641</v>
      </c>
      <c r="B177" s="47">
        <f t="shared" si="17"/>
        <v>9</v>
      </c>
      <c r="C177" s="63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46">
        <v>43642</v>
      </c>
      <c r="B178" s="47">
        <f t="shared" si="17"/>
        <v>17</v>
      </c>
      <c r="C178" s="63">
        <v>6.5</v>
      </c>
      <c r="D178" s="51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46">
        <v>43643</v>
      </c>
      <c r="B179" s="47">
        <f t="shared" si="17"/>
        <v>20</v>
      </c>
      <c r="C179" s="63">
        <v>1</v>
      </c>
      <c r="D179" s="54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46">
        <v>43644</v>
      </c>
      <c r="B180" s="47">
        <f t="shared" si="17"/>
        <v>22</v>
      </c>
      <c r="C180" s="54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46">
        <v>43645</v>
      </c>
      <c r="B181" s="47">
        <f t="shared" si="17"/>
        <v>13</v>
      </c>
      <c r="C181" s="51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46">
        <v>43646</v>
      </c>
      <c r="B182" s="47">
        <f t="shared" si="17"/>
        <v>40</v>
      </c>
      <c r="C182" s="51">
        <v>15</v>
      </c>
      <c r="D182" s="52">
        <v>15</v>
      </c>
      <c r="E182" s="68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46">
        <v>43647</v>
      </c>
      <c r="B183" s="47">
        <f t="shared" si="17"/>
        <v>12</v>
      </c>
      <c r="C183" s="54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46">
        <v>43648</v>
      </c>
      <c r="B184" s="47">
        <f t="shared" si="17"/>
        <v>26.5</v>
      </c>
      <c r="C184" s="54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46">
        <v>43649</v>
      </c>
      <c r="B185" s="47">
        <f t="shared" si="17"/>
        <v>0</v>
      </c>
      <c r="C185" s="47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46">
        <v>43650</v>
      </c>
      <c r="B186" s="47">
        <f t="shared" si="17"/>
        <v>2.5</v>
      </c>
      <c r="C186" s="63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46">
        <v>43651</v>
      </c>
      <c r="B187" s="47">
        <f t="shared" si="17"/>
        <v>4</v>
      </c>
      <c r="C187" s="63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46">
        <v>43652</v>
      </c>
      <c r="B188" s="47">
        <f t="shared" si="17"/>
        <v>0</v>
      </c>
      <c r="C188" s="47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46">
        <v>43653</v>
      </c>
      <c r="B189" s="47">
        <f t="shared" si="17"/>
        <v>0</v>
      </c>
      <c r="C189" s="47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46">
        <v>43654</v>
      </c>
      <c r="B190" s="47">
        <f t="shared" si="17"/>
        <v>4</v>
      </c>
      <c r="C190" s="63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46">
        <v>43655</v>
      </c>
      <c r="B191" s="47">
        <f t="shared" si="17"/>
        <v>3</v>
      </c>
      <c r="C191" s="63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46">
        <v>43656</v>
      </c>
      <c r="B192" s="47">
        <f t="shared" si="17"/>
        <v>4</v>
      </c>
      <c r="C192" s="63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46">
        <v>43657</v>
      </c>
      <c r="B193" s="47">
        <f t="shared" si="17"/>
        <v>6</v>
      </c>
      <c r="C193" s="63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46">
        <v>43658</v>
      </c>
      <c r="B194" s="47">
        <f t="shared" si="17"/>
        <v>98.52000000000001</v>
      </c>
      <c r="C194" s="63">
        <v>4</v>
      </c>
      <c r="D194" s="54">
        <v>26</v>
      </c>
      <c r="E194" s="53">
        <v>22</v>
      </c>
      <c r="F194" s="50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46">
        <v>43659</v>
      </c>
      <c r="B195" s="47">
        <f t="shared" ref="B195:B258" si="22">SUM(C195:F195)</f>
        <v>1030</v>
      </c>
      <c r="C195" s="81">
        <v>1030</v>
      </c>
      <c r="J195" t="s">
        <v>166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46">
        <v>43660</v>
      </c>
      <c r="B196" s="47">
        <f t="shared" si="22"/>
        <v>0</v>
      </c>
      <c r="C196" s="47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46">
        <v>43661</v>
      </c>
      <c r="B197" s="47">
        <f t="shared" si="22"/>
        <v>6</v>
      </c>
      <c r="C197" s="63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46">
        <v>43662</v>
      </c>
      <c r="B198" s="47">
        <f t="shared" si="22"/>
        <v>5</v>
      </c>
      <c r="C198" s="63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46">
        <v>43663</v>
      </c>
      <c r="B199" s="47">
        <f t="shared" si="22"/>
        <v>45</v>
      </c>
      <c r="C199" s="54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46">
        <v>43664</v>
      </c>
      <c r="B200" s="47">
        <f t="shared" si="22"/>
        <v>5.4</v>
      </c>
      <c r="C200" s="63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46">
        <v>43665</v>
      </c>
      <c r="B201" s="47">
        <f t="shared" si="22"/>
        <v>340</v>
      </c>
      <c r="C201" s="80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46">
        <v>43666</v>
      </c>
      <c r="B202" s="47">
        <f t="shared" si="22"/>
        <v>0</v>
      </c>
      <c r="C202" s="47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46">
        <v>43667</v>
      </c>
      <c r="B203" s="47">
        <f t="shared" si="22"/>
        <v>0</v>
      </c>
      <c r="C203" s="47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46">
        <v>43668</v>
      </c>
      <c r="B204" s="47">
        <f t="shared" si="22"/>
        <v>0</v>
      </c>
      <c r="C204" s="47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46">
        <v>43669</v>
      </c>
      <c r="B205" s="47">
        <f t="shared" si="22"/>
        <v>15</v>
      </c>
      <c r="C205" s="54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46">
        <v>43670</v>
      </c>
      <c r="B206" s="47">
        <f t="shared" si="22"/>
        <v>5</v>
      </c>
      <c r="C206" s="63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46">
        <v>43671</v>
      </c>
      <c r="B207" s="47">
        <f t="shared" si="22"/>
        <v>4</v>
      </c>
      <c r="C207" s="63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46">
        <v>43672</v>
      </c>
      <c r="B208" s="47">
        <f t="shared" si="22"/>
        <v>8.5</v>
      </c>
      <c r="C208" s="63">
        <v>2.5</v>
      </c>
      <c r="D208" s="54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46">
        <v>43673</v>
      </c>
      <c r="B209" s="47">
        <f t="shared" si="22"/>
        <v>69.66</v>
      </c>
      <c r="C209" s="50">
        <v>28.66</v>
      </c>
      <c r="D209" s="64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46">
        <v>43674</v>
      </c>
      <c r="B210" s="47">
        <f t="shared" si="22"/>
        <v>4.5</v>
      </c>
      <c r="C210" s="54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46">
        <v>43675</v>
      </c>
      <c r="B211" s="47">
        <f t="shared" si="22"/>
        <v>0</v>
      </c>
      <c r="C211" s="47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46">
        <v>43676</v>
      </c>
      <c r="B212" s="47">
        <f t="shared" si="22"/>
        <v>5</v>
      </c>
      <c r="C212" s="63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46">
        <v>43677</v>
      </c>
      <c r="B213" s="47">
        <f t="shared" si="22"/>
        <v>170</v>
      </c>
      <c r="C213" s="47">
        <v>0</v>
      </c>
      <c r="D213" s="68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46">
        <v>43678</v>
      </c>
      <c r="B214" s="47">
        <f t="shared" si="22"/>
        <v>61</v>
      </c>
      <c r="C214" s="54">
        <v>16</v>
      </c>
      <c r="D214" s="68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46">
        <v>43679</v>
      </c>
      <c r="B215" s="47">
        <f t="shared" si="22"/>
        <v>8</v>
      </c>
      <c r="C215" s="63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46">
        <v>43680</v>
      </c>
      <c r="B216" s="47">
        <f t="shared" si="22"/>
        <v>54</v>
      </c>
      <c r="C216" s="54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46">
        <v>43681</v>
      </c>
      <c r="B217" s="47">
        <f t="shared" si="22"/>
        <v>8</v>
      </c>
      <c r="C217" s="51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46">
        <v>43682</v>
      </c>
      <c r="B218" s="47">
        <f t="shared" si="22"/>
        <v>11.5</v>
      </c>
      <c r="C218" s="63">
        <v>8.5</v>
      </c>
      <c r="D218" s="54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46">
        <v>43683</v>
      </c>
      <c r="B219" s="47">
        <f t="shared" si="22"/>
        <v>58</v>
      </c>
      <c r="C219" s="63">
        <v>8</v>
      </c>
      <c r="D219" s="77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46">
        <v>43684</v>
      </c>
      <c r="B220" s="47">
        <f t="shared" si="22"/>
        <v>22</v>
      </c>
      <c r="C220" s="63">
        <v>10</v>
      </c>
      <c r="D220" s="54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46">
        <v>43685</v>
      </c>
      <c r="B221" s="47">
        <f t="shared" si="22"/>
        <v>8.4</v>
      </c>
      <c r="C221" s="63">
        <v>6</v>
      </c>
      <c r="D221" s="54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46">
        <v>43686</v>
      </c>
      <c r="B222" s="47">
        <f t="shared" si="22"/>
        <v>18.5</v>
      </c>
      <c r="C222" s="63">
        <v>2.5</v>
      </c>
      <c r="D222" s="54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46">
        <v>43687</v>
      </c>
      <c r="B223" s="47">
        <f t="shared" si="22"/>
        <v>0</v>
      </c>
      <c r="C223" s="47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46">
        <v>43688</v>
      </c>
      <c r="B224" s="47">
        <f t="shared" si="22"/>
        <v>13</v>
      </c>
      <c r="C224" s="51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46">
        <v>43689</v>
      </c>
      <c r="B225" s="47">
        <f t="shared" si="22"/>
        <v>6</v>
      </c>
      <c r="C225" s="63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46">
        <v>43690</v>
      </c>
      <c r="B226" s="47">
        <f t="shared" si="22"/>
        <v>70.22999999999999</v>
      </c>
      <c r="C226" s="63">
        <v>2.5</v>
      </c>
      <c r="D226" s="53">
        <v>23</v>
      </c>
      <c r="E226" s="50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46">
        <v>43691</v>
      </c>
      <c r="B227" s="47">
        <f t="shared" si="22"/>
        <v>51</v>
      </c>
      <c r="C227" s="63">
        <v>5</v>
      </c>
      <c r="D227" s="54">
        <v>16</v>
      </c>
      <c r="E227" s="77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46">
        <v>43692</v>
      </c>
      <c r="B228" s="47">
        <f t="shared" si="22"/>
        <v>0</v>
      </c>
      <c r="C228" s="47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46">
        <v>43693</v>
      </c>
      <c r="B229" s="47">
        <f t="shared" si="22"/>
        <v>0</v>
      </c>
      <c r="C229" s="47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46">
        <v>43694</v>
      </c>
      <c r="B230" s="47">
        <f t="shared" si="22"/>
        <v>203</v>
      </c>
      <c r="C230" s="54">
        <v>53</v>
      </c>
      <c r="D230" s="65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46">
        <v>43695</v>
      </c>
      <c r="B231" s="47">
        <f t="shared" si="22"/>
        <v>0</v>
      </c>
      <c r="C231" s="47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46">
        <v>43696</v>
      </c>
      <c r="B232" s="47">
        <f t="shared" si="22"/>
        <v>4.3</v>
      </c>
      <c r="C232" s="63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46">
        <v>43697</v>
      </c>
      <c r="B233" s="47">
        <f t="shared" si="22"/>
        <v>23.4</v>
      </c>
      <c r="C233" s="63">
        <v>4.4000000000000004</v>
      </c>
      <c r="D233" s="54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46">
        <v>43698</v>
      </c>
      <c r="B234" s="47">
        <f t="shared" si="22"/>
        <v>2.1</v>
      </c>
      <c r="C234" s="63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46">
        <v>43699</v>
      </c>
      <c r="B235" s="47">
        <f t="shared" si="22"/>
        <v>2.5</v>
      </c>
      <c r="C235" s="63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46">
        <v>43700</v>
      </c>
      <c r="B236" s="47">
        <f t="shared" si="22"/>
        <v>37.730000000000004</v>
      </c>
      <c r="C236" s="63">
        <v>2.5</v>
      </c>
      <c r="D236" s="54">
        <v>13</v>
      </c>
      <c r="E236" s="50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46">
        <v>43701</v>
      </c>
      <c r="B237" s="47">
        <f t="shared" si="22"/>
        <v>253</v>
      </c>
      <c r="C237" s="52">
        <v>13</v>
      </c>
      <c r="D237" s="68">
        <v>240</v>
      </c>
      <c r="J237" t="s">
        <v>163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46">
        <v>43702</v>
      </c>
      <c r="B238" s="47">
        <f t="shared" si="22"/>
        <v>0</v>
      </c>
      <c r="C238" s="47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46">
        <v>43703</v>
      </c>
      <c r="B239" s="47">
        <f t="shared" si="22"/>
        <v>5</v>
      </c>
      <c r="C239" s="63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46">
        <v>43704</v>
      </c>
      <c r="B240" s="47">
        <f t="shared" si="22"/>
        <v>20</v>
      </c>
      <c r="C240" s="63">
        <v>12</v>
      </c>
      <c r="D240" s="54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46">
        <v>43705</v>
      </c>
      <c r="B241" s="47">
        <f t="shared" si="22"/>
        <v>15</v>
      </c>
      <c r="C241" s="54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46">
        <v>43706</v>
      </c>
      <c r="B242" s="47">
        <f t="shared" si="22"/>
        <v>3</v>
      </c>
      <c r="C242" s="63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46">
        <v>43707</v>
      </c>
      <c r="B243" s="47">
        <f t="shared" si="22"/>
        <v>35</v>
      </c>
      <c r="C243" s="63">
        <v>4</v>
      </c>
      <c r="D243" s="54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46">
        <v>43708</v>
      </c>
      <c r="B244" s="47">
        <f t="shared" si="22"/>
        <v>0</v>
      </c>
      <c r="C244" s="47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46">
        <v>43709</v>
      </c>
      <c r="B245" s="47">
        <f t="shared" si="22"/>
        <v>0</v>
      </c>
      <c r="C245" s="47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46">
        <v>43710</v>
      </c>
      <c r="B246" s="47">
        <f t="shared" si="22"/>
        <v>6</v>
      </c>
      <c r="C246" s="63">
        <v>3</v>
      </c>
      <c r="D246" s="54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46">
        <v>43711</v>
      </c>
      <c r="B247" s="47">
        <f t="shared" si="22"/>
        <v>0</v>
      </c>
      <c r="C247" s="47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46">
        <v>43712</v>
      </c>
      <c r="B248" s="47">
        <f t="shared" si="22"/>
        <v>6</v>
      </c>
      <c r="C248" s="63">
        <v>3</v>
      </c>
      <c r="D248" s="54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46">
        <v>43713</v>
      </c>
      <c r="B249" s="47">
        <f t="shared" si="22"/>
        <v>0</v>
      </c>
      <c r="C249" s="47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46">
        <v>43714</v>
      </c>
      <c r="B250" s="47">
        <f t="shared" si="22"/>
        <v>15</v>
      </c>
      <c r="C250" s="63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46">
        <v>43715</v>
      </c>
      <c r="B251" s="47">
        <f t="shared" si="22"/>
        <v>34</v>
      </c>
      <c r="C251" s="54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46">
        <v>43716</v>
      </c>
      <c r="B252" s="47">
        <f t="shared" si="22"/>
        <v>0</v>
      </c>
      <c r="C252" s="47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46">
        <v>43717</v>
      </c>
      <c r="B253" s="47">
        <f t="shared" si="22"/>
        <v>7</v>
      </c>
      <c r="C253" s="63">
        <v>4</v>
      </c>
      <c r="D253" s="54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46">
        <v>43718</v>
      </c>
      <c r="B254" s="47">
        <f t="shared" si="22"/>
        <v>4</v>
      </c>
      <c r="C254" s="63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46">
        <v>43719</v>
      </c>
      <c r="B255" s="47">
        <f t="shared" si="22"/>
        <v>26</v>
      </c>
      <c r="C255" s="63">
        <v>4</v>
      </c>
      <c r="D255" s="53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46">
        <v>43720</v>
      </c>
      <c r="B256" s="47">
        <f t="shared" si="22"/>
        <v>7</v>
      </c>
      <c r="C256" s="63">
        <v>4</v>
      </c>
      <c r="D256" s="54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46">
        <v>43721</v>
      </c>
      <c r="B257" s="47">
        <f t="shared" si="22"/>
        <v>20</v>
      </c>
      <c r="C257" s="47">
        <v>0</v>
      </c>
      <c r="D257" s="54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46">
        <v>43722</v>
      </c>
      <c r="B258" s="47">
        <f t="shared" si="22"/>
        <v>0</v>
      </c>
      <c r="C258" s="47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46">
        <v>43723</v>
      </c>
      <c r="B259" s="47">
        <f t="shared" ref="B259:B322" si="27">SUM(C259:F259)</f>
        <v>28</v>
      </c>
      <c r="C259" s="52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46">
        <v>43724</v>
      </c>
      <c r="B260" s="47">
        <f t="shared" si="27"/>
        <v>0</v>
      </c>
      <c r="C260" s="47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46">
        <v>43725</v>
      </c>
      <c r="B261" s="47">
        <f t="shared" si="27"/>
        <v>3</v>
      </c>
      <c r="C261" s="63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46">
        <v>43726</v>
      </c>
      <c r="B262" s="47">
        <f t="shared" si="27"/>
        <v>3</v>
      </c>
      <c r="C262" s="63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46">
        <v>43727</v>
      </c>
      <c r="B263" s="47">
        <f t="shared" si="27"/>
        <v>19</v>
      </c>
      <c r="C263" s="54">
        <v>9</v>
      </c>
      <c r="D263" s="64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46">
        <v>43728</v>
      </c>
      <c r="B264" s="47">
        <f t="shared" si="27"/>
        <v>74.16</v>
      </c>
      <c r="C264" s="54">
        <v>10</v>
      </c>
      <c r="D264" s="50">
        <v>46.16</v>
      </c>
      <c r="E264" s="64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46">
        <v>43729</v>
      </c>
      <c r="B265" s="47">
        <f t="shared" si="27"/>
        <v>0</v>
      </c>
      <c r="C265" s="47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46">
        <v>43730</v>
      </c>
      <c r="B266" s="47">
        <f t="shared" si="27"/>
        <v>0</v>
      </c>
      <c r="C266" s="47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46">
        <v>43731</v>
      </c>
      <c r="B267" s="47">
        <f t="shared" si="27"/>
        <v>0</v>
      </c>
      <c r="C267" s="47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46">
        <v>43732</v>
      </c>
      <c r="B268" s="47">
        <f t="shared" si="27"/>
        <v>0</v>
      </c>
      <c r="C268" s="47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46">
        <v>43733</v>
      </c>
      <c r="B269" s="47">
        <f t="shared" si="27"/>
        <v>25</v>
      </c>
      <c r="C269" s="54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46">
        <v>43734</v>
      </c>
      <c r="B270" s="47">
        <f t="shared" si="27"/>
        <v>21</v>
      </c>
      <c r="C270" s="63">
        <v>4</v>
      </c>
      <c r="D270" s="54">
        <v>3</v>
      </c>
      <c r="E270" s="64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46">
        <v>43735</v>
      </c>
      <c r="B271" s="47">
        <f t="shared" si="27"/>
        <v>543</v>
      </c>
      <c r="C271" s="77">
        <v>30</v>
      </c>
      <c r="D271" s="52">
        <v>45</v>
      </c>
      <c r="E271" s="65">
        <f>91+70+83+93+10+28+72+14+7</f>
        <v>468</v>
      </c>
      <c r="J271" t="s">
        <v>172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46">
        <v>43736</v>
      </c>
      <c r="B272" s="47">
        <f t="shared" si="27"/>
        <v>10</v>
      </c>
      <c r="C272" s="51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46">
        <v>43737</v>
      </c>
      <c r="B273" s="47">
        <f t="shared" si="27"/>
        <v>4</v>
      </c>
      <c r="C273" s="54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46">
        <v>43738</v>
      </c>
      <c r="B274" s="47">
        <f t="shared" si="27"/>
        <v>0</v>
      </c>
      <c r="C274" s="47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46">
        <v>43739</v>
      </c>
      <c r="B275" s="47">
        <f t="shared" si="27"/>
        <v>104</v>
      </c>
      <c r="C275" s="63">
        <v>5</v>
      </c>
      <c r="D275" s="54">
        <v>29</v>
      </c>
      <c r="E275" s="81">
        <v>70</v>
      </c>
      <c r="J275" t="s">
        <v>171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46">
        <v>43740</v>
      </c>
      <c r="B276" s="47">
        <f t="shared" si="27"/>
        <v>15</v>
      </c>
      <c r="C276" s="54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46">
        <v>43741</v>
      </c>
      <c r="B277" s="47">
        <f t="shared" si="27"/>
        <v>77</v>
      </c>
      <c r="C277" s="63">
        <v>2</v>
      </c>
      <c r="D277" s="54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46">
        <v>43742</v>
      </c>
      <c r="B278" s="47">
        <f t="shared" si="27"/>
        <v>24.5</v>
      </c>
      <c r="C278" s="63">
        <v>4.5</v>
      </c>
      <c r="D278" s="54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46">
        <v>43743</v>
      </c>
      <c r="B279" s="47">
        <f t="shared" si="27"/>
        <v>0</v>
      </c>
      <c r="C279" s="47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46">
        <v>43744</v>
      </c>
      <c r="B280" s="47">
        <f t="shared" si="27"/>
        <v>0</v>
      </c>
      <c r="C280" s="47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46">
        <v>43745</v>
      </c>
      <c r="B281" s="47">
        <f t="shared" si="27"/>
        <v>4</v>
      </c>
      <c r="C281" s="63">
        <v>1</v>
      </c>
      <c r="D281" s="54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46">
        <v>43746</v>
      </c>
      <c r="B282" s="47">
        <f t="shared" si="27"/>
        <v>1</v>
      </c>
      <c r="C282" s="63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46">
        <v>43747</v>
      </c>
      <c r="B283" s="47">
        <f t="shared" si="27"/>
        <v>1</v>
      </c>
      <c r="C283" s="63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46">
        <v>43748</v>
      </c>
      <c r="B284" s="47">
        <f t="shared" si="27"/>
        <v>0</v>
      </c>
      <c r="C284" s="47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46">
        <v>43749</v>
      </c>
      <c r="B285" s="47">
        <f t="shared" si="27"/>
        <v>36</v>
      </c>
      <c r="C285" s="63">
        <v>2</v>
      </c>
      <c r="D285" s="54">
        <v>20</v>
      </c>
      <c r="E285" s="52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46">
        <v>43750</v>
      </c>
      <c r="B286" s="47">
        <f t="shared" si="27"/>
        <v>0</v>
      </c>
      <c r="C286" s="47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46">
        <v>43751</v>
      </c>
      <c r="B287" s="47">
        <f t="shared" si="27"/>
        <v>0</v>
      </c>
      <c r="C287" s="47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46">
        <v>43752</v>
      </c>
      <c r="B288" s="47">
        <f t="shared" si="27"/>
        <v>2</v>
      </c>
      <c r="C288" s="63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46">
        <v>43753</v>
      </c>
      <c r="B289" s="47">
        <f t="shared" si="27"/>
        <v>49</v>
      </c>
      <c r="C289" s="63">
        <v>4</v>
      </c>
      <c r="D289" s="54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46">
        <v>43754</v>
      </c>
      <c r="B290" s="47">
        <f t="shared" si="27"/>
        <v>20</v>
      </c>
      <c r="C290" s="63">
        <v>4</v>
      </c>
      <c r="D290" s="54">
        <v>4</v>
      </c>
      <c r="E290" s="64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46">
        <v>43755</v>
      </c>
      <c r="B291" s="47">
        <f t="shared" si="27"/>
        <v>8.8999999999999986</v>
      </c>
      <c r="C291" s="63">
        <v>4.5999999999999996</v>
      </c>
      <c r="D291" s="54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46">
        <v>43756</v>
      </c>
      <c r="B292" s="47">
        <f t="shared" si="27"/>
        <v>21.310000000000002</v>
      </c>
      <c r="C292" s="63">
        <v>3</v>
      </c>
      <c r="D292" s="50">
        <v>12.31</v>
      </c>
      <c r="E292" s="51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46">
        <v>43757</v>
      </c>
      <c r="B293" s="47">
        <f t="shared" si="27"/>
        <v>30</v>
      </c>
      <c r="C293" s="64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46">
        <v>43758</v>
      </c>
      <c r="B294" s="47">
        <f t="shared" si="27"/>
        <v>0</v>
      </c>
      <c r="C294" s="47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46">
        <v>43759</v>
      </c>
      <c r="B295" s="47">
        <f t="shared" si="27"/>
        <v>3.3</v>
      </c>
      <c r="C295" s="63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46">
        <v>43760</v>
      </c>
      <c r="B296" s="47">
        <f t="shared" si="27"/>
        <v>21.8</v>
      </c>
      <c r="C296" s="63">
        <v>2.8</v>
      </c>
      <c r="D296" s="52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46">
        <v>43761</v>
      </c>
      <c r="B297" s="47">
        <f t="shared" si="27"/>
        <v>0</v>
      </c>
      <c r="C297" s="47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46">
        <v>43762</v>
      </c>
      <c r="B298" s="47">
        <f t="shared" si="27"/>
        <v>64.099999999999994</v>
      </c>
      <c r="C298" s="63">
        <v>5.5</v>
      </c>
      <c r="D298" s="54">
        <v>23</v>
      </c>
      <c r="E298" s="81">
        <v>27</v>
      </c>
      <c r="F298" s="52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46">
        <v>43763</v>
      </c>
      <c r="B299" s="47">
        <f t="shared" si="27"/>
        <v>25</v>
      </c>
      <c r="C299" s="54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46">
        <v>43764</v>
      </c>
      <c r="B300" s="47">
        <f t="shared" si="27"/>
        <v>5</v>
      </c>
      <c r="C300" s="64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46">
        <v>43765</v>
      </c>
      <c r="B301" s="47">
        <f t="shared" si="27"/>
        <v>36</v>
      </c>
      <c r="C301" s="52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46">
        <v>43766</v>
      </c>
      <c r="B302" s="47">
        <f t="shared" si="27"/>
        <v>0</v>
      </c>
      <c r="C302" s="47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46">
        <v>43767</v>
      </c>
      <c r="B303" s="47">
        <f t="shared" si="27"/>
        <v>44.98</v>
      </c>
      <c r="C303" s="63">
        <v>1</v>
      </c>
      <c r="D303" s="50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46">
        <v>43768</v>
      </c>
      <c r="B304" s="47">
        <f t="shared" si="27"/>
        <v>1</v>
      </c>
      <c r="C304" s="63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46">
        <v>43769</v>
      </c>
      <c r="B305" s="47">
        <f t="shared" si="27"/>
        <v>37</v>
      </c>
      <c r="C305" s="63">
        <v>3</v>
      </c>
      <c r="D305" s="54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46">
        <v>43770</v>
      </c>
      <c r="B306" s="47">
        <f t="shared" si="27"/>
        <v>80</v>
      </c>
      <c r="C306" s="52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46">
        <v>43771</v>
      </c>
      <c r="B307" s="47">
        <f t="shared" si="27"/>
        <v>20</v>
      </c>
      <c r="C307" s="68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46">
        <v>43772</v>
      </c>
      <c r="B308" s="47">
        <f t="shared" si="27"/>
        <v>0</v>
      </c>
      <c r="C308" s="47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46">
        <v>43773</v>
      </c>
      <c r="B309" s="47">
        <f t="shared" si="27"/>
        <v>22</v>
      </c>
      <c r="C309" s="63">
        <v>1</v>
      </c>
      <c r="D309" s="54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46">
        <v>43774</v>
      </c>
      <c r="B310" s="47">
        <f t="shared" si="27"/>
        <v>1</v>
      </c>
      <c r="C310" s="63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46">
        <v>43775</v>
      </c>
      <c r="B311" s="47">
        <f t="shared" si="27"/>
        <v>11</v>
      </c>
      <c r="C311" s="63">
        <v>1</v>
      </c>
      <c r="D311" s="54">
        <v>5</v>
      </c>
      <c r="E311" s="68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46">
        <v>43776</v>
      </c>
      <c r="B312" s="47">
        <f t="shared" si="27"/>
        <v>2</v>
      </c>
      <c r="C312" s="54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46">
        <v>43777</v>
      </c>
      <c r="B313" s="47">
        <f t="shared" si="27"/>
        <v>4</v>
      </c>
      <c r="C313" s="63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46">
        <v>43778</v>
      </c>
      <c r="B314" s="47">
        <f t="shared" si="27"/>
        <v>53</v>
      </c>
      <c r="C314" s="68">
        <v>13</v>
      </c>
      <c r="D314" s="64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46">
        <v>43779</v>
      </c>
      <c r="B315" s="47">
        <f t="shared" si="27"/>
        <v>0</v>
      </c>
      <c r="C315" s="47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46">
        <v>43780</v>
      </c>
      <c r="B316" s="47">
        <f t="shared" si="27"/>
        <v>1</v>
      </c>
      <c r="C316" s="63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46">
        <v>43781</v>
      </c>
      <c r="B317" s="47">
        <f t="shared" si="27"/>
        <v>32.799999999999997</v>
      </c>
      <c r="C317" s="63">
        <v>1</v>
      </c>
      <c r="D317" s="54">
        <v>7.5</v>
      </c>
      <c r="E317" s="81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46">
        <v>43782</v>
      </c>
      <c r="B318" s="47">
        <f t="shared" si="27"/>
        <v>143</v>
      </c>
      <c r="C318" s="63">
        <v>1</v>
      </c>
      <c r="D318" s="68">
        <v>5</v>
      </c>
      <c r="E318" s="64">
        <v>8</v>
      </c>
      <c r="F318" s="65">
        <v>129</v>
      </c>
      <c r="J318" t="s">
        <v>170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46">
        <v>43783</v>
      </c>
      <c r="B319" s="47">
        <f t="shared" si="27"/>
        <v>20.5</v>
      </c>
      <c r="C319" s="63">
        <v>7.5</v>
      </c>
      <c r="D319" s="68">
        <v>4.5</v>
      </c>
      <c r="E319" s="54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46">
        <v>43784</v>
      </c>
      <c r="B320" s="47">
        <f t="shared" si="27"/>
        <v>18.299999999999997</v>
      </c>
      <c r="C320" s="63">
        <v>4.5999999999999996</v>
      </c>
      <c r="D320" s="54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46">
        <v>43785</v>
      </c>
      <c r="B321" s="47">
        <f t="shared" si="27"/>
        <v>15</v>
      </c>
      <c r="C321" s="54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46">
        <v>43786</v>
      </c>
      <c r="B322" s="47">
        <f t="shared" si="27"/>
        <v>0</v>
      </c>
      <c r="C322" s="47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46">
        <v>43787</v>
      </c>
      <c r="B323" s="47">
        <f t="shared" ref="B323:B366" si="36">SUM(C323:F323)</f>
        <v>1</v>
      </c>
      <c r="C323" s="63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46">
        <v>43788</v>
      </c>
      <c r="B324" s="47">
        <f t="shared" si="36"/>
        <v>13</v>
      </c>
      <c r="C324" s="63">
        <v>1</v>
      </c>
      <c r="D324" s="51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46">
        <v>43789</v>
      </c>
      <c r="B325" s="47">
        <f t="shared" si="36"/>
        <v>1</v>
      </c>
      <c r="C325" s="63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46">
        <v>43790</v>
      </c>
      <c r="B326" s="47">
        <f t="shared" si="36"/>
        <v>6</v>
      </c>
      <c r="C326" s="63">
        <v>1</v>
      </c>
      <c r="D326" s="54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46">
        <v>43791</v>
      </c>
      <c r="B327" s="47">
        <f t="shared" si="36"/>
        <v>32.5</v>
      </c>
      <c r="C327" s="63">
        <v>7.5</v>
      </c>
      <c r="D327" s="54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46">
        <v>43792</v>
      </c>
      <c r="B328" s="47">
        <f t="shared" si="36"/>
        <v>14</v>
      </c>
      <c r="C328" s="52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46">
        <v>43793</v>
      </c>
      <c r="B329" s="47">
        <f t="shared" si="36"/>
        <v>0</v>
      </c>
      <c r="C329" s="47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46">
        <v>43794</v>
      </c>
      <c r="B330" s="47">
        <f t="shared" si="36"/>
        <v>45.71</v>
      </c>
      <c r="C330" s="63">
        <v>5.4</v>
      </c>
      <c r="D330" s="54">
        <v>5.6</v>
      </c>
      <c r="E330" s="50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46">
        <v>43795</v>
      </c>
      <c r="B331" s="47">
        <f t="shared" si="36"/>
        <v>5.4</v>
      </c>
      <c r="C331" s="63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46">
        <v>43796</v>
      </c>
      <c r="B332" s="47">
        <f t="shared" si="36"/>
        <v>27.9</v>
      </c>
      <c r="C332" s="63">
        <v>5.4</v>
      </c>
      <c r="D332" s="51">
        <v>15</v>
      </c>
      <c r="E332" s="54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46">
        <v>43797</v>
      </c>
      <c r="B333" s="47">
        <f t="shared" si="36"/>
        <v>707.4</v>
      </c>
      <c r="C333" s="63">
        <v>5.4</v>
      </c>
      <c r="D333" s="54">
        <v>2</v>
      </c>
      <c r="E333" s="66">
        <v>700</v>
      </c>
      <c r="J333" t="s">
        <v>174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46">
        <v>43798</v>
      </c>
      <c r="B334" s="47">
        <f t="shared" si="36"/>
        <v>8.9</v>
      </c>
      <c r="C334" s="63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46">
        <v>43799</v>
      </c>
      <c r="B335" s="47">
        <f t="shared" si="36"/>
        <v>0</v>
      </c>
      <c r="C335" s="47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46">
        <v>43800</v>
      </c>
      <c r="B336" s="47">
        <f t="shared" si="36"/>
        <v>10.199999999999999</v>
      </c>
      <c r="C336" s="51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46">
        <v>43801</v>
      </c>
      <c r="B337" s="47">
        <f t="shared" si="36"/>
        <v>115</v>
      </c>
      <c r="C337" s="53">
        <v>25</v>
      </c>
      <c r="D337" s="77">
        <v>73</v>
      </c>
      <c r="E337" s="54">
        <v>7</v>
      </c>
      <c r="F337" s="52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46">
        <v>43802</v>
      </c>
      <c r="B338" s="47">
        <f t="shared" si="36"/>
        <v>0</v>
      </c>
      <c r="C338" s="47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46">
        <v>43803</v>
      </c>
      <c r="B339" s="47">
        <f t="shared" si="36"/>
        <v>15</v>
      </c>
      <c r="C339" s="54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46">
        <v>43804</v>
      </c>
      <c r="B340" s="47">
        <f t="shared" si="36"/>
        <v>19</v>
      </c>
      <c r="C340" s="51">
        <v>15</v>
      </c>
      <c r="D340" s="63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46">
        <v>43805</v>
      </c>
      <c r="B341" s="47">
        <f t="shared" si="36"/>
        <v>28</v>
      </c>
      <c r="C341" s="63">
        <v>3</v>
      </c>
      <c r="D341" s="77">
        <v>8</v>
      </c>
      <c r="E341" s="54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46">
        <v>43806</v>
      </c>
      <c r="B342" s="47">
        <f>SUM(C342:F342)</f>
        <v>10</v>
      </c>
      <c r="C342" s="51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46">
        <v>43807</v>
      </c>
      <c r="B343" s="47">
        <f t="shared" si="36"/>
        <v>0</v>
      </c>
      <c r="C343" s="47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46">
        <v>43808</v>
      </c>
      <c r="B344" s="47">
        <f t="shared" si="36"/>
        <v>0</v>
      </c>
      <c r="C344" s="47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46">
        <v>43809</v>
      </c>
      <c r="B345" s="47">
        <f t="shared" si="36"/>
        <v>0</v>
      </c>
      <c r="C345" s="47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46">
        <v>43810</v>
      </c>
      <c r="B346" s="47">
        <f t="shared" si="36"/>
        <v>3</v>
      </c>
      <c r="C346" s="63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46">
        <v>43811</v>
      </c>
      <c r="B347" s="47">
        <f t="shared" si="36"/>
        <v>27</v>
      </c>
      <c r="C347" s="63">
        <v>7</v>
      </c>
      <c r="D347" s="54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46">
        <v>43812</v>
      </c>
      <c r="B348" s="47">
        <f t="shared" si="36"/>
        <v>50</v>
      </c>
      <c r="C348" s="63">
        <v>8</v>
      </c>
      <c r="D348" s="54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46">
        <v>43813</v>
      </c>
      <c r="B349" s="47">
        <f t="shared" si="36"/>
        <v>65</v>
      </c>
      <c r="C349" s="68">
        <v>30</v>
      </c>
      <c r="D349" s="64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46">
        <v>43814</v>
      </c>
      <c r="B350" s="47">
        <f t="shared" si="36"/>
        <v>6</v>
      </c>
      <c r="C350" s="77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46">
        <v>43815</v>
      </c>
      <c r="B351" s="47">
        <f t="shared" si="36"/>
        <v>3.5</v>
      </c>
      <c r="C351" s="63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46">
        <v>43816</v>
      </c>
      <c r="B352" s="47">
        <f t="shared" si="36"/>
        <v>6.5</v>
      </c>
      <c r="C352" s="63">
        <v>3</v>
      </c>
      <c r="D352" s="54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46">
        <v>43817</v>
      </c>
      <c r="B353" s="47">
        <f t="shared" si="36"/>
        <v>25</v>
      </c>
      <c r="C353" s="63">
        <v>10</v>
      </c>
      <c r="D353" s="54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46">
        <v>43818</v>
      </c>
      <c r="B354" s="47">
        <f t="shared" si="36"/>
        <v>20</v>
      </c>
      <c r="C354" s="64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46">
        <v>43819</v>
      </c>
      <c r="B355" s="47">
        <f t="shared" si="36"/>
        <v>0</v>
      </c>
      <c r="C355" s="47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46">
        <v>43820</v>
      </c>
      <c r="B356" s="47">
        <f t="shared" si="36"/>
        <v>10</v>
      </c>
      <c r="C356" s="64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46">
        <v>43821</v>
      </c>
      <c r="B357" s="47">
        <f t="shared" si="36"/>
        <v>0</v>
      </c>
      <c r="C357" s="47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46">
        <v>43822</v>
      </c>
      <c r="B358" s="47">
        <f t="shared" si="36"/>
        <v>38</v>
      </c>
      <c r="C358" s="54">
        <v>35</v>
      </c>
      <c r="D358" s="77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46">
        <v>43823</v>
      </c>
      <c r="B359" s="47">
        <f t="shared" si="36"/>
        <v>25</v>
      </c>
      <c r="C359" s="77">
        <v>10</v>
      </c>
      <c r="D359" s="54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46">
        <v>43824</v>
      </c>
      <c r="B360" s="47">
        <f t="shared" si="36"/>
        <v>0</v>
      </c>
      <c r="C360" s="47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46">
        <v>43825</v>
      </c>
      <c r="B361" s="47">
        <f t="shared" si="36"/>
        <v>0</v>
      </c>
      <c r="C361" s="47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46">
        <v>43826</v>
      </c>
      <c r="B362" s="47">
        <f t="shared" si="36"/>
        <v>0</v>
      </c>
      <c r="C362" s="47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46">
        <v>43827</v>
      </c>
      <c r="B363" s="47">
        <f t="shared" si="36"/>
        <v>0</v>
      </c>
      <c r="C363" s="47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46">
        <v>43828</v>
      </c>
      <c r="B364" s="47">
        <f t="shared" si="36"/>
        <v>35</v>
      </c>
      <c r="C364" s="52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46">
        <v>43829</v>
      </c>
      <c r="B365" s="47">
        <f t="shared" si="36"/>
        <v>67.47</v>
      </c>
      <c r="C365" s="53">
        <v>25</v>
      </c>
      <c r="D365" s="50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46">
        <v>43830</v>
      </c>
      <c r="B366" s="47">
        <f t="shared" si="36"/>
        <v>86</v>
      </c>
      <c r="C366" s="54">
        <v>31</v>
      </c>
      <c r="D366" s="64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82" t="s">
        <v>131</v>
      </c>
      <c r="B369" s="84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51"/>
  <sheetViews>
    <sheetView tabSelected="1" zoomScale="160" zoomScaleNormal="160" workbookViewId="0">
      <selection activeCell="I12" sqref="I1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9" t="s">
        <v>175</v>
      </c>
      <c r="B1" s="109"/>
      <c r="C1" s="109"/>
      <c r="D1" s="109"/>
      <c r="E1" s="109"/>
      <c r="F1" s="109"/>
      <c r="G1" s="3"/>
      <c r="H1" s="3"/>
      <c r="I1" s="3"/>
      <c r="J1" s="3"/>
      <c r="K1" s="3"/>
      <c r="L1" s="3"/>
    </row>
    <row r="2" spans="1:12" ht="15" customHeight="1" x14ac:dyDescent="0.45">
      <c r="A2" s="109"/>
      <c r="B2" s="109"/>
      <c r="C2" s="109"/>
      <c r="D2" s="109"/>
      <c r="E2" s="109"/>
      <c r="F2" s="109"/>
      <c r="G2" s="3"/>
      <c r="H2" s="3"/>
      <c r="I2" s="3"/>
      <c r="J2" s="3"/>
      <c r="K2" s="3"/>
      <c r="L2" s="3"/>
    </row>
    <row r="3" spans="1:12" ht="23.25" x14ac:dyDescent="0.25">
      <c r="A3" s="108" t="s">
        <v>1</v>
      </c>
      <c r="B3" s="108"/>
      <c r="C3" s="108"/>
      <c r="D3" s="108"/>
      <c r="E3" s="108"/>
      <c r="F3" s="10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124</v>
      </c>
      <c r="B5" s="8" t="s">
        <v>16</v>
      </c>
      <c r="C5" s="15">
        <v>43891</v>
      </c>
      <c r="D5" s="16"/>
      <c r="E5" s="17"/>
      <c r="F5" s="17">
        <v>325.37</v>
      </c>
    </row>
    <row r="6" spans="1:12" x14ac:dyDescent="0.25">
      <c r="A6" s="10" t="s">
        <v>18</v>
      </c>
      <c r="B6" s="10" t="s">
        <v>19</v>
      </c>
      <c r="C6" s="26" t="s">
        <v>20</v>
      </c>
      <c r="D6" s="26" t="s">
        <v>66</v>
      </c>
      <c r="E6" s="25">
        <v>17.149999999999999</v>
      </c>
      <c r="F6" s="25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00"/>
      <c r="F7" s="17">
        <v>331.67</v>
      </c>
    </row>
    <row r="8" spans="1:12" x14ac:dyDescent="0.25">
      <c r="A8" s="8" t="s">
        <v>125</v>
      </c>
      <c r="B8" s="8" t="s">
        <v>9</v>
      </c>
      <c r="C8" s="15">
        <v>43862</v>
      </c>
      <c r="D8" s="16" t="s">
        <v>146</v>
      </c>
      <c r="E8" s="100"/>
      <c r="F8" s="17">
        <v>991.78</v>
      </c>
    </row>
    <row r="9" spans="1:12" x14ac:dyDescent="0.25">
      <c r="A9" s="8" t="s">
        <v>156</v>
      </c>
      <c r="B9" s="8" t="s">
        <v>157</v>
      </c>
      <c r="C9" s="15">
        <v>43915</v>
      </c>
      <c r="D9" s="16"/>
      <c r="E9" s="17"/>
      <c r="F9" s="17">
        <v>47.22</v>
      </c>
    </row>
    <row r="10" spans="1:12" x14ac:dyDescent="0.25">
      <c r="A10" s="10" t="s">
        <v>27</v>
      </c>
      <c r="B10" s="10" t="s">
        <v>23</v>
      </c>
      <c r="C10" s="26" t="s">
        <v>20</v>
      </c>
      <c r="D10" s="26" t="s">
        <v>28</v>
      </c>
      <c r="E10" s="25">
        <v>121.67</v>
      </c>
      <c r="F10" s="25">
        <f>12*E10</f>
        <v>1460.04</v>
      </c>
    </row>
    <row r="11" spans="1:12" x14ac:dyDescent="0.25">
      <c r="A11" s="8" t="s">
        <v>177</v>
      </c>
      <c r="B11" s="8"/>
      <c r="C11" s="16" t="s">
        <v>100</v>
      </c>
      <c r="D11" s="16"/>
      <c r="E11" s="17"/>
      <c r="F11" s="17">
        <v>177.33</v>
      </c>
    </row>
    <row r="13" spans="1:12" ht="18.75" x14ac:dyDescent="0.3">
      <c r="A13" s="6"/>
      <c r="B13" s="7"/>
    </row>
    <row r="14" spans="1:12" ht="18.75" x14ac:dyDescent="0.3">
      <c r="A14" s="6"/>
      <c r="B14" s="7"/>
    </row>
    <row r="15" spans="1:12" x14ac:dyDescent="0.25">
      <c r="A15" s="109" t="s">
        <v>176</v>
      </c>
      <c r="B15" s="109"/>
      <c r="C15" s="109"/>
      <c r="D15" s="109"/>
      <c r="E15" s="109"/>
      <c r="F15" s="109"/>
    </row>
    <row r="16" spans="1:12" x14ac:dyDescent="0.25">
      <c r="A16" s="109"/>
      <c r="B16" s="109"/>
      <c r="C16" s="109"/>
      <c r="D16" s="109"/>
      <c r="E16" s="109"/>
      <c r="F16" s="109"/>
    </row>
    <row r="17" spans="1:6" ht="23.25" x14ac:dyDescent="0.25">
      <c r="A17" s="108" t="s">
        <v>1</v>
      </c>
      <c r="B17" s="108"/>
      <c r="C17" s="108"/>
      <c r="D17" s="108"/>
      <c r="E17" s="108"/>
      <c r="F17" s="108"/>
    </row>
    <row r="18" spans="1:6" ht="18.75" x14ac:dyDescent="0.3">
      <c r="A18" s="1" t="s">
        <v>2</v>
      </c>
      <c r="B18" s="1" t="s">
        <v>3</v>
      </c>
      <c r="C18" s="1" t="s">
        <v>4</v>
      </c>
      <c r="D18" s="1" t="s">
        <v>5</v>
      </c>
      <c r="E18" s="1" t="s">
        <v>6</v>
      </c>
      <c r="F18" s="1" t="s">
        <v>7</v>
      </c>
    </row>
    <row r="19" spans="1:6" x14ac:dyDescent="0.25">
      <c r="A19" s="8" t="s">
        <v>15</v>
      </c>
      <c r="B19" s="8" t="s">
        <v>16</v>
      </c>
      <c r="C19" s="15">
        <v>44256</v>
      </c>
      <c r="D19" s="16"/>
      <c r="E19" s="17"/>
      <c r="F19" s="17">
        <v>215.61</v>
      </c>
    </row>
    <row r="20" spans="1:6" x14ac:dyDescent="0.25">
      <c r="A20" s="10" t="s">
        <v>18</v>
      </c>
      <c r="B20" s="10" t="s">
        <v>19</v>
      </c>
      <c r="C20" s="26" t="s">
        <v>20</v>
      </c>
      <c r="D20" s="26" t="s">
        <v>66</v>
      </c>
      <c r="E20" s="25">
        <v>17.53</v>
      </c>
      <c r="F20" s="25">
        <f>12*E20</f>
        <v>210.36</v>
      </c>
    </row>
    <row r="21" spans="1:6" x14ac:dyDescent="0.25">
      <c r="A21" s="101" t="s">
        <v>22</v>
      </c>
      <c r="B21" s="101" t="s">
        <v>23</v>
      </c>
      <c r="C21" s="102" t="s">
        <v>13</v>
      </c>
      <c r="D21" s="103">
        <v>180885569</v>
      </c>
      <c r="E21" s="100"/>
      <c r="F21" s="100">
        <v>338.3</v>
      </c>
    </row>
    <row r="22" spans="1:6" x14ac:dyDescent="0.25">
      <c r="A22" s="8" t="s">
        <v>125</v>
      </c>
      <c r="B22" s="8" t="s">
        <v>9</v>
      </c>
      <c r="C22" s="15">
        <v>44228</v>
      </c>
      <c r="D22" s="16" t="s">
        <v>146</v>
      </c>
      <c r="E22" s="17"/>
      <c r="F22" s="17">
        <v>1021.81</v>
      </c>
    </row>
    <row r="23" spans="1:6" x14ac:dyDescent="0.25">
      <c r="A23" s="104" t="s">
        <v>156</v>
      </c>
      <c r="B23" s="104" t="s">
        <v>157</v>
      </c>
      <c r="C23" s="105">
        <v>44280</v>
      </c>
      <c r="D23" s="106"/>
      <c r="E23" s="107"/>
      <c r="F23" s="107"/>
    </row>
    <row r="24" spans="1:6" x14ac:dyDescent="0.25">
      <c r="A24" s="10" t="s">
        <v>27</v>
      </c>
      <c r="B24" s="10" t="s">
        <v>23</v>
      </c>
      <c r="C24" s="26" t="s">
        <v>20</v>
      </c>
      <c r="D24" s="26" t="s">
        <v>28</v>
      </c>
      <c r="E24" s="25">
        <v>131.6</v>
      </c>
      <c r="F24" s="25">
        <f>12*E24</f>
        <v>1579.1999999999998</v>
      </c>
    </row>
    <row r="25" spans="1:6" x14ac:dyDescent="0.25">
      <c r="A25" s="8" t="s">
        <v>177</v>
      </c>
      <c r="B25" s="8"/>
      <c r="C25" s="16" t="s">
        <v>100</v>
      </c>
      <c r="D25" s="16"/>
      <c r="E25" s="17"/>
      <c r="F25" s="17">
        <v>141.83000000000001</v>
      </c>
    </row>
    <row r="27" spans="1:6" x14ac:dyDescent="0.25">
      <c r="A27" s="111"/>
      <c r="B27" s="111"/>
      <c r="C27" s="111"/>
    </row>
    <row r="28" spans="1:6" x14ac:dyDescent="0.25">
      <c r="A28" s="111"/>
      <c r="B28" s="111"/>
      <c r="C28" s="111"/>
    </row>
    <row r="29" spans="1:6" ht="23.25" x14ac:dyDescent="0.35">
      <c r="E29" s="29" t="s">
        <v>35</v>
      </c>
      <c r="F29" s="30"/>
    </row>
    <row r="30" spans="1:6" x14ac:dyDescent="0.25">
      <c r="E30" s="31"/>
      <c r="F30" s="32" t="s">
        <v>37</v>
      </c>
    </row>
    <row r="31" spans="1:6" x14ac:dyDescent="0.25">
      <c r="E31" s="33"/>
      <c r="F31" s="34" t="s">
        <v>39</v>
      </c>
    </row>
    <row r="32" spans="1:6" x14ac:dyDescent="0.25">
      <c r="E32" s="35"/>
      <c r="F32" s="36" t="s">
        <v>41</v>
      </c>
    </row>
    <row r="39" spans="1:3" x14ac:dyDescent="0.25">
      <c r="A39" s="111"/>
      <c r="B39" s="111"/>
      <c r="C39" s="111"/>
    </row>
    <row r="40" spans="1:3" x14ac:dyDescent="0.25">
      <c r="A40" s="111"/>
      <c r="B40" s="111"/>
      <c r="C40" s="111"/>
    </row>
    <row r="49" spans="1:6" x14ac:dyDescent="0.25">
      <c r="A49" s="111"/>
      <c r="B49" s="111"/>
      <c r="C49" s="111"/>
    </row>
    <row r="50" spans="1:6" x14ac:dyDescent="0.25">
      <c r="A50" s="111"/>
      <c r="B50" s="111"/>
      <c r="C50" s="111"/>
    </row>
    <row r="51" spans="1:6" ht="18.75" x14ac:dyDescent="0.3">
      <c r="F51" s="1"/>
    </row>
  </sheetData>
  <mergeCells count="7">
    <mergeCell ref="A49:C50"/>
    <mergeCell ref="A1:F2"/>
    <mergeCell ref="A3:F3"/>
    <mergeCell ref="A27:C28"/>
    <mergeCell ref="A39:C40"/>
    <mergeCell ref="A15:F16"/>
    <mergeCell ref="A17:F17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2016</vt:lpstr>
      <vt:lpstr>2017</vt:lpstr>
      <vt:lpstr>2018</vt:lpstr>
      <vt:lpstr>2019</vt:lpstr>
      <vt:lpstr>laufende Kosten 2019</vt:lpstr>
      <vt:lpstr>2020-2021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2021-03-02T15:50:00Z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