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Finance/"/>
    </mc:Choice>
  </mc:AlternateContent>
  <xr:revisionPtr revIDLastSave="0" documentId="13_ncr:1_{F2FB5EE2-3FFB-C84C-87A5-E70F827CC6A3}" xr6:coauthVersionLast="47" xr6:coauthVersionMax="47" xr10:uidLastSave="{00000000-0000-0000-0000-000000000000}"/>
  <bookViews>
    <workbookView xWindow="0" yWindow="500" windowWidth="51200" windowHeight="2658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9" l="1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<sst xmlns="http://schemas.openxmlformats.org/spreadsheetml/2006/main" count="531" uniqueCount="170">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</sst>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6" t="s">
        <v>132</v>
      </c>
      <c r="S1" s="96"/>
      <c r="T1" s="96"/>
      <c r="U1" s="96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8" t="s">
        <v>141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24" x14ac:dyDescent="0.2">
      <c r="A3" s="97" t="s">
        <v>1</v>
      </c>
      <c r="B3" s="97"/>
      <c r="C3" s="97"/>
      <c r="D3" s="97"/>
      <c r="E3" s="97"/>
      <c r="F3" s="97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97" t="s">
        <v>34</v>
      </c>
      <c r="B19" s="97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97" t="s">
        <v>47</v>
      </c>
      <c r="B30" s="97"/>
      <c r="C30" s="97"/>
    </row>
    <row r="31" spans="1:6" x14ac:dyDescent="0.2">
      <c r="A31" s="97"/>
      <c r="B31" s="97"/>
      <c r="C31" s="97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97" t="s">
        <v>77</v>
      </c>
      <c r="B42" s="97"/>
      <c r="C42" s="97"/>
    </row>
    <row r="43" spans="1:3" x14ac:dyDescent="0.2">
      <c r="A43" s="97"/>
      <c r="B43" s="97"/>
      <c r="C43" s="97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97" t="s">
        <v>53</v>
      </c>
      <c r="B52" s="97"/>
      <c r="C52" s="97"/>
    </row>
    <row r="53" spans="1:6" x14ac:dyDescent="0.2">
      <c r="A53" s="97"/>
      <c r="B53" s="97"/>
      <c r="C53" s="97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98" t="s">
        <v>88</v>
      </c>
      <c r="B67" s="98"/>
      <c r="C67" s="98"/>
      <c r="D67" s="98"/>
      <c r="E67" s="98"/>
      <c r="F67" s="98"/>
    </row>
    <row r="68" spans="1:6" x14ac:dyDescent="0.2">
      <c r="A68" s="98"/>
      <c r="B68" s="98"/>
      <c r="C68" s="98"/>
      <c r="D68" s="98"/>
      <c r="E68" s="98"/>
      <c r="F68" s="98"/>
    </row>
    <row r="69" spans="1:6" ht="24" x14ac:dyDescent="0.2">
      <c r="A69" s="97" t="s">
        <v>1</v>
      </c>
      <c r="B69" s="97"/>
      <c r="C69" s="97"/>
      <c r="D69" s="97"/>
      <c r="E69" s="97"/>
      <c r="F69" s="97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97" t="s">
        <v>34</v>
      </c>
      <c r="B86" s="97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97" t="s">
        <v>47</v>
      </c>
      <c r="B99" s="97"/>
      <c r="C99" s="97"/>
    </row>
    <row r="100" spans="1:6" x14ac:dyDescent="0.2">
      <c r="A100" s="97"/>
      <c r="B100" s="97"/>
      <c r="C100" s="97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97" t="s">
        <v>77</v>
      </c>
      <c r="B111" s="97"/>
      <c r="C111" s="97"/>
    </row>
    <row r="112" spans="1:6" x14ac:dyDescent="0.2">
      <c r="A112" s="97"/>
      <c r="B112" s="97"/>
      <c r="C112" s="97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97" t="s">
        <v>53</v>
      </c>
      <c r="B125" s="97"/>
      <c r="C125" s="97"/>
    </row>
    <row r="126" spans="1:6" x14ac:dyDescent="0.2">
      <c r="A126" s="97"/>
      <c r="B126" s="97"/>
      <c r="C126" s="97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98" t="s">
        <v>64</v>
      </c>
      <c r="B147" s="98"/>
      <c r="C147" s="98"/>
      <c r="D147" s="98"/>
      <c r="E147" s="98"/>
      <c r="F147" s="98"/>
    </row>
    <row r="148" spans="1:6" x14ac:dyDescent="0.2">
      <c r="A148" s="98"/>
      <c r="B148" s="98"/>
      <c r="C148" s="98"/>
      <c r="D148" s="98"/>
      <c r="E148" s="98"/>
      <c r="F148" s="98"/>
    </row>
    <row r="149" spans="1:6" ht="24" x14ac:dyDescent="0.2">
      <c r="A149" s="97" t="s">
        <v>1</v>
      </c>
      <c r="B149" s="97"/>
      <c r="C149" s="97"/>
      <c r="D149" s="97"/>
      <c r="E149" s="97"/>
      <c r="F149" s="97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97" t="s">
        <v>34</v>
      </c>
      <c r="B167" s="97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97" t="s">
        <v>47</v>
      </c>
      <c r="B180" s="97"/>
      <c r="C180" s="97"/>
    </row>
    <row r="181" spans="1:3" x14ac:dyDescent="0.2">
      <c r="A181" s="97"/>
      <c r="B181" s="97"/>
      <c r="C181" s="97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97" t="s">
        <v>77</v>
      </c>
      <c r="B191" s="97"/>
      <c r="C191" s="97"/>
    </row>
    <row r="192" spans="1:3" x14ac:dyDescent="0.2">
      <c r="A192" s="97"/>
      <c r="B192" s="97"/>
      <c r="C192" s="97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97" t="s">
        <v>53</v>
      </c>
      <c r="B202" s="97"/>
      <c r="C202" s="97"/>
    </row>
    <row r="203" spans="1:3" x14ac:dyDescent="0.2">
      <c r="A203" s="97"/>
      <c r="B203" s="97"/>
      <c r="C203" s="97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98" t="s">
        <v>0</v>
      </c>
      <c r="B221" s="98"/>
      <c r="C221" s="98"/>
      <c r="D221" s="98"/>
      <c r="E221" s="98"/>
      <c r="F221" s="98"/>
    </row>
    <row r="222" spans="1:6" x14ac:dyDescent="0.2">
      <c r="A222" s="98"/>
      <c r="B222" s="98"/>
      <c r="C222" s="98"/>
      <c r="D222" s="98"/>
      <c r="E222" s="98"/>
      <c r="F222" s="98"/>
    </row>
    <row r="223" spans="1:6" ht="24" x14ac:dyDescent="0.2">
      <c r="A223" s="97" t="s">
        <v>1</v>
      </c>
      <c r="B223" s="97"/>
      <c r="C223" s="97"/>
      <c r="D223" s="97"/>
      <c r="E223" s="97"/>
      <c r="F223" s="97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97" t="s">
        <v>34</v>
      </c>
      <c r="B237" s="97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97" t="s">
        <v>47</v>
      </c>
      <c r="B249" s="97"/>
      <c r="C249" s="97"/>
    </row>
    <row r="250" spans="1:3" x14ac:dyDescent="0.2">
      <c r="A250" s="97"/>
      <c r="B250" s="97"/>
      <c r="C250" s="97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97" t="s">
        <v>53</v>
      </c>
      <c r="B260" s="97"/>
      <c r="C260" s="97"/>
    </row>
    <row r="261" spans="1:3" x14ac:dyDescent="0.2">
      <c r="A261" s="97"/>
      <c r="B261" s="97"/>
      <c r="C261" s="97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48"/>
  <sheetViews>
    <sheetView tabSelected="1" topLeftCell="A18" zoomScale="160" zoomScaleNormal="160" workbookViewId="0">
      <selection activeCell="B57" sqref="B57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98" t="s">
        <v>164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98" t="s">
        <v>165</v>
      </c>
      <c r="B14" s="98"/>
      <c r="C14" s="98"/>
      <c r="D14" s="98"/>
      <c r="E14" s="98"/>
      <c r="F14" s="98"/>
    </row>
    <row r="15" spans="1:12" x14ac:dyDescent="0.2">
      <c r="A15" s="98"/>
      <c r="B15" s="98"/>
      <c r="C15" s="98"/>
      <c r="D15" s="98"/>
      <c r="E15" s="98"/>
      <c r="F15" s="98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98" t="s">
        <v>167</v>
      </c>
      <c r="B27" s="98"/>
      <c r="C27" s="98"/>
      <c r="D27" s="98"/>
      <c r="E27" s="98"/>
      <c r="F27" s="98"/>
    </row>
    <row r="28" spans="1:6" x14ac:dyDescent="0.2">
      <c r="A28" s="98"/>
      <c r="B28" s="98"/>
      <c r="C28" s="98"/>
      <c r="D28" s="98"/>
      <c r="E28" s="98"/>
      <c r="F28" s="98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98" t="s">
        <v>169</v>
      </c>
      <c r="B40" s="98"/>
      <c r="C40" s="98"/>
      <c r="D40" s="98"/>
      <c r="E40" s="98"/>
      <c r="F40" s="98"/>
    </row>
    <row r="41" spans="1:6" x14ac:dyDescent="0.2">
      <c r="A41" s="98"/>
      <c r="B41" s="98"/>
      <c r="C41" s="98"/>
      <c r="D41" s="98"/>
      <c r="E41" s="98"/>
      <c r="F41" s="98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99" t="s">
        <v>15</v>
      </c>
      <c r="B43" s="99" t="s">
        <v>16</v>
      </c>
      <c r="C43" s="100">
        <v>44986</v>
      </c>
      <c r="D43" s="101"/>
      <c r="E43" s="102"/>
      <c r="F43" s="102"/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99" t="s">
        <v>22</v>
      </c>
      <c r="B45" s="99" t="s">
        <v>23</v>
      </c>
      <c r="C45" s="100" t="s">
        <v>13</v>
      </c>
      <c r="D45" s="101">
        <v>180885569</v>
      </c>
      <c r="E45" s="102"/>
      <c r="F45" s="102">
        <f>342.15+13.69</f>
        <v>355.84</v>
      </c>
    </row>
    <row r="46" spans="1:6" x14ac:dyDescent="0.2">
      <c r="A46" s="99" t="s">
        <v>117</v>
      </c>
      <c r="B46" s="99" t="s">
        <v>9</v>
      </c>
      <c r="C46" s="100">
        <v>44958</v>
      </c>
      <c r="D46" s="101" t="s">
        <v>136</v>
      </c>
      <c r="E46" s="102"/>
      <c r="F46" s="102"/>
    </row>
    <row r="47" spans="1:6" x14ac:dyDescent="0.2">
      <c r="A47" s="99" t="s">
        <v>145</v>
      </c>
      <c r="B47" s="99" t="s">
        <v>146</v>
      </c>
      <c r="C47" s="100">
        <v>45017</v>
      </c>
      <c r="D47" s="101"/>
      <c r="E47" s="102"/>
      <c r="F47" s="102"/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136.86000000000001</v>
      </c>
      <c r="F48" s="23">
        <f>12*E48</f>
        <v>1642.3200000000002</v>
      </c>
    </row>
  </sheetData>
  <mergeCells count="4">
    <mergeCell ref="A1:F2"/>
    <mergeCell ref="A14:F15"/>
    <mergeCell ref="A27:F28"/>
    <mergeCell ref="A40:F4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2023-01-02T11:17:47Z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