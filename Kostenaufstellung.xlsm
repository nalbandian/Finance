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EA584632-B439-4E12-B203-D151E6C3A84A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5" i="9" l="1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<sst xmlns="http://schemas.openxmlformats.org/spreadsheetml/2006/main" count="531" uniqueCount="170">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</sst>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0" t="s">
        <v>132</v>
      </c>
      <c r="S1" s="100"/>
      <c r="T1" s="100"/>
      <c r="U1" s="100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2" t="s">
        <v>141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4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23.25" x14ac:dyDescent="0.25">
      <c r="A3" s="101" t="s">
        <v>1</v>
      </c>
      <c r="B3" s="101"/>
      <c r="C3" s="101"/>
      <c r="D3" s="101"/>
      <c r="E3" s="101"/>
      <c r="F3" s="101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101" t="s">
        <v>34</v>
      </c>
      <c r="B19" s="101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101" t="s">
        <v>47</v>
      </c>
      <c r="B30" s="101"/>
      <c r="C30" s="101"/>
    </row>
    <row r="31" spans="1:6" x14ac:dyDescent="0.25">
      <c r="A31" s="101"/>
      <c r="B31" s="101"/>
      <c r="C31" s="101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101" t="s">
        <v>77</v>
      </c>
      <c r="B42" s="101"/>
      <c r="C42" s="101"/>
    </row>
    <row r="43" spans="1:3" x14ac:dyDescent="0.25">
      <c r="A43" s="101"/>
      <c r="B43" s="101"/>
      <c r="C43" s="101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101" t="s">
        <v>53</v>
      </c>
      <c r="B52" s="101"/>
      <c r="C52" s="101"/>
    </row>
    <row r="53" spans="1:6" x14ac:dyDescent="0.25">
      <c r="A53" s="101"/>
      <c r="B53" s="101"/>
      <c r="C53" s="101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102" t="s">
        <v>88</v>
      </c>
      <c r="B67" s="102"/>
      <c r="C67" s="102"/>
      <c r="D67" s="102"/>
      <c r="E67" s="102"/>
      <c r="F67" s="102"/>
    </row>
    <row r="68" spans="1:6" x14ac:dyDescent="0.25">
      <c r="A68" s="102"/>
      <c r="B68" s="102"/>
      <c r="C68" s="102"/>
      <c r="D68" s="102"/>
      <c r="E68" s="102"/>
      <c r="F68" s="102"/>
    </row>
    <row r="69" spans="1:6" ht="23.25" x14ac:dyDescent="0.25">
      <c r="A69" s="101" t="s">
        <v>1</v>
      </c>
      <c r="B69" s="101"/>
      <c r="C69" s="101"/>
      <c r="D69" s="101"/>
      <c r="E69" s="101"/>
      <c r="F69" s="101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8.75" x14ac:dyDescent="0.3">
      <c r="A82" s="6" t="s">
        <v>71</v>
      </c>
      <c r="B82" s="7">
        <f>SUM(F71:F80)</f>
        <v>14917.1</v>
      </c>
    </row>
    <row r="83" spans="1:5" ht="18.75" x14ac:dyDescent="0.3">
      <c r="A83" s="6" t="s">
        <v>96</v>
      </c>
      <c r="B83" s="7">
        <f>F77+F78+F80+F79</f>
        <v>12740.880000000001</v>
      </c>
    </row>
    <row r="84" spans="1:5" ht="18.75" x14ac:dyDescent="0.3">
      <c r="A84" s="6" t="s">
        <v>73</v>
      </c>
      <c r="B84" s="7">
        <f>SUM(F71:F76)</f>
        <v>2176.2200000000003</v>
      </c>
    </row>
    <row r="86" spans="1:5" ht="23.25" x14ac:dyDescent="0.35">
      <c r="A86" s="101" t="s">
        <v>34</v>
      </c>
      <c r="B86" s="101"/>
      <c r="D86" s="27" t="s">
        <v>35</v>
      </c>
      <c r="E86" s="28"/>
    </row>
    <row r="87" spans="1:5" ht="18.75" x14ac:dyDescent="0.3">
      <c r="A87" s="1" t="s">
        <v>36</v>
      </c>
      <c r="B87" s="1" t="s">
        <v>7</v>
      </c>
      <c r="D87" s="29"/>
      <c r="E87" s="30" t="s">
        <v>37</v>
      </c>
    </row>
    <row r="88" spans="1:5" x14ac:dyDescent="0.25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5">
      <c r="A89" s="10" t="s">
        <v>97</v>
      </c>
      <c r="B89" s="23">
        <v>377.48</v>
      </c>
      <c r="D89" s="33"/>
      <c r="E89" s="34" t="s">
        <v>41</v>
      </c>
    </row>
    <row r="90" spans="1:5" x14ac:dyDescent="0.25">
      <c r="A90" s="10" t="s">
        <v>74</v>
      </c>
      <c r="B90" s="23">
        <v>0</v>
      </c>
      <c r="D90" s="9"/>
      <c r="E90" s="9" t="s">
        <v>75</v>
      </c>
    </row>
    <row r="91" spans="1:5" x14ac:dyDescent="0.25">
      <c r="A91" s="8" t="s">
        <v>42</v>
      </c>
      <c r="B91" s="17">
        <v>82.2</v>
      </c>
    </row>
    <row r="92" spans="1:5" x14ac:dyDescent="0.25">
      <c r="A92" s="8" t="s">
        <v>44</v>
      </c>
      <c r="B92" s="17">
        <v>87.3</v>
      </c>
    </row>
    <row r="93" spans="1:5" x14ac:dyDescent="0.25">
      <c r="A93" s="8" t="s">
        <v>43</v>
      </c>
      <c r="B93" s="17">
        <v>43.7</v>
      </c>
    </row>
    <row r="94" spans="1:5" x14ac:dyDescent="0.25">
      <c r="A94" s="8" t="s">
        <v>98</v>
      </c>
      <c r="B94" s="17">
        <v>23.8</v>
      </c>
    </row>
    <row r="95" spans="1:5" x14ac:dyDescent="0.25">
      <c r="B95" s="2"/>
    </row>
    <row r="96" spans="1:5" ht="18.75" x14ac:dyDescent="0.3">
      <c r="A96" s="6" t="s">
        <v>71</v>
      </c>
      <c r="B96" s="7">
        <f>SUM(B88:B94)</f>
        <v>1108.6200000000001</v>
      </c>
    </row>
    <row r="97" spans="1:6" ht="18.75" x14ac:dyDescent="0.3">
      <c r="A97" s="6" t="s">
        <v>76</v>
      </c>
      <c r="B97" s="7">
        <f>SUM(B88:B94)+F76</f>
        <v>2424.36</v>
      </c>
    </row>
    <row r="99" spans="1:6" x14ac:dyDescent="0.25">
      <c r="A99" s="101" t="s">
        <v>47</v>
      </c>
      <c r="B99" s="101"/>
      <c r="C99" s="101"/>
    </row>
    <row r="100" spans="1:6" x14ac:dyDescent="0.25">
      <c r="A100" s="101"/>
      <c r="B100" s="101"/>
      <c r="C100" s="101"/>
    </row>
    <row r="101" spans="1:6" ht="18.75" x14ac:dyDescent="0.3">
      <c r="A101" s="1" t="s">
        <v>36</v>
      </c>
      <c r="B101" s="1" t="s">
        <v>6</v>
      </c>
      <c r="C101" s="1" t="s">
        <v>7</v>
      </c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5">
      <c r="A104" s="10" t="s">
        <v>50</v>
      </c>
      <c r="B104" s="23">
        <v>29</v>
      </c>
      <c r="C104" s="23">
        <f t="shared" si="1"/>
        <v>348</v>
      </c>
    </row>
    <row r="105" spans="1:6" x14ac:dyDescent="0.25">
      <c r="A105" s="10" t="s">
        <v>99</v>
      </c>
      <c r="B105" s="23">
        <v>11.86</v>
      </c>
      <c r="C105" s="23">
        <f>12*B105</f>
        <v>142.32</v>
      </c>
    </row>
    <row r="106" spans="1:6" x14ac:dyDescent="0.25">
      <c r="A106" s="10" t="s">
        <v>51</v>
      </c>
      <c r="B106" s="23">
        <v>31</v>
      </c>
      <c r="C106" s="23">
        <f t="shared" si="1"/>
        <v>372</v>
      </c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5">
      <c r="B108" s="2"/>
      <c r="C108" s="2"/>
    </row>
    <row r="109" spans="1:6" ht="18.75" x14ac:dyDescent="0.3">
      <c r="A109" s="6" t="s">
        <v>71</v>
      </c>
      <c r="B109" s="7">
        <f>SUM(C102:C107)</f>
        <v>7744.92</v>
      </c>
      <c r="C109" s="2"/>
    </row>
    <row r="110" spans="1:6" ht="18.75" x14ac:dyDescent="0.3">
      <c r="A110" s="6"/>
      <c r="B110" s="7"/>
      <c r="C110" s="2"/>
    </row>
    <row r="111" spans="1:6" x14ac:dyDescent="0.25">
      <c r="A111" s="101" t="s">
        <v>77</v>
      </c>
      <c r="B111" s="101"/>
      <c r="C111" s="101"/>
    </row>
    <row r="112" spans="1:6" x14ac:dyDescent="0.25">
      <c r="A112" s="101"/>
      <c r="B112" s="101"/>
      <c r="C112" s="101"/>
    </row>
    <row r="113" spans="1:6" x14ac:dyDescent="0.25">
      <c r="A113" s="8" t="s">
        <v>56</v>
      </c>
      <c r="B113" s="17">
        <v>200</v>
      </c>
    </row>
    <row r="114" spans="1:6" x14ac:dyDescent="0.25">
      <c r="A114" s="8" t="s">
        <v>78</v>
      </c>
      <c r="B114" s="17">
        <v>158.1</v>
      </c>
    </row>
    <row r="115" spans="1:6" x14ac:dyDescent="0.25">
      <c r="A115" s="8" t="s">
        <v>100</v>
      </c>
      <c r="B115" s="17">
        <v>195</v>
      </c>
    </row>
    <row r="116" spans="1:6" x14ac:dyDescent="0.25">
      <c r="A116" s="8" t="s">
        <v>101</v>
      </c>
      <c r="B116" s="17">
        <v>500</v>
      </c>
    </row>
    <row r="117" spans="1:6" x14ac:dyDescent="0.25">
      <c r="A117" s="8" t="s">
        <v>102</v>
      </c>
      <c r="B117" s="17">
        <v>2900</v>
      </c>
    </row>
    <row r="118" spans="1:6" x14ac:dyDescent="0.25">
      <c r="A118" s="8" t="s">
        <v>103</v>
      </c>
      <c r="B118" s="17">
        <v>300</v>
      </c>
    </row>
    <row r="119" spans="1:6" x14ac:dyDescent="0.25">
      <c r="A119" s="8" t="s">
        <v>104</v>
      </c>
      <c r="B119" s="17">
        <v>200</v>
      </c>
    </row>
    <row r="120" spans="1:6" x14ac:dyDescent="0.25">
      <c r="A120" s="8" t="s">
        <v>105</v>
      </c>
      <c r="B120" s="17">
        <f>640+220</f>
        <v>860</v>
      </c>
    </row>
    <row r="121" spans="1:6" x14ac:dyDescent="0.25">
      <c r="A121" s="8" t="s">
        <v>60</v>
      </c>
      <c r="B121" s="17">
        <v>800</v>
      </c>
    </row>
    <row r="123" spans="1:6" ht="18.75" x14ac:dyDescent="0.3">
      <c r="A123" s="6" t="s">
        <v>71</v>
      </c>
      <c r="B123" s="7">
        <f>SUM(B113:B121)</f>
        <v>6113.1</v>
      </c>
    </row>
    <row r="125" spans="1:6" x14ac:dyDescent="0.25">
      <c r="A125" s="101" t="s">
        <v>53</v>
      </c>
      <c r="B125" s="101"/>
      <c r="C125" s="101"/>
    </row>
    <row r="126" spans="1:6" x14ac:dyDescent="0.25">
      <c r="A126" s="101"/>
      <c r="B126" s="101"/>
      <c r="C126" s="101"/>
    </row>
    <row r="127" spans="1:6" ht="18.75" x14ac:dyDescent="0.3">
      <c r="A127" s="1" t="s">
        <v>36</v>
      </c>
      <c r="B127" s="1" t="s">
        <v>6</v>
      </c>
      <c r="C127" s="1" t="s">
        <v>7</v>
      </c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</row>
    <row r="129" spans="1:3" x14ac:dyDescent="0.25">
      <c r="A129" s="10" t="s">
        <v>55</v>
      </c>
      <c r="B129" s="23">
        <v>7.9</v>
      </c>
      <c r="C129" s="23">
        <f>12*B129</f>
        <v>94.800000000000011</v>
      </c>
    </row>
    <row r="130" spans="1:3" x14ac:dyDescent="0.25">
      <c r="A130" s="10" t="s">
        <v>58</v>
      </c>
      <c r="B130" s="23"/>
      <c r="C130" s="23">
        <f>500+500+200</f>
        <v>1200</v>
      </c>
    </row>
    <row r="131" spans="1:3" x14ac:dyDescent="0.25">
      <c r="A131" s="10" t="s">
        <v>79</v>
      </c>
      <c r="B131" s="23">
        <v>22</v>
      </c>
      <c r="C131" s="23">
        <f>12*B131</f>
        <v>264</v>
      </c>
    </row>
    <row r="132" spans="1:3" x14ac:dyDescent="0.25">
      <c r="A132" s="8" t="s">
        <v>106</v>
      </c>
      <c r="B132" s="8"/>
      <c r="C132" s="17">
        <f>5700+4600</f>
        <v>10300</v>
      </c>
    </row>
    <row r="133" spans="1:3" x14ac:dyDescent="0.25">
      <c r="A133" s="9" t="s">
        <v>107</v>
      </c>
      <c r="B133" s="18"/>
      <c r="C133" s="18">
        <v>-2200</v>
      </c>
    </row>
    <row r="134" spans="1:3" x14ac:dyDescent="0.25">
      <c r="A134" s="9" t="s">
        <v>108</v>
      </c>
      <c r="B134" s="18"/>
      <c r="C134" s="18">
        <v>-5000</v>
      </c>
    </row>
    <row r="135" spans="1:3" x14ac:dyDescent="0.25">
      <c r="A135" s="8" t="s">
        <v>109</v>
      </c>
      <c r="B135" s="17"/>
      <c r="C135" s="17">
        <v>500</v>
      </c>
    </row>
    <row r="136" spans="1:3" x14ac:dyDescent="0.25">
      <c r="A136" s="9" t="s">
        <v>110</v>
      </c>
      <c r="B136" s="18"/>
      <c r="C136" s="18">
        <v>-500</v>
      </c>
    </row>
    <row r="137" spans="1:3" x14ac:dyDescent="0.25">
      <c r="A137" s="8" t="s">
        <v>111</v>
      </c>
      <c r="B137" s="8"/>
      <c r="C137" s="17">
        <v>12500</v>
      </c>
    </row>
    <row r="138" spans="1:3" x14ac:dyDescent="0.25">
      <c r="A138" s="8" t="s">
        <v>112</v>
      </c>
      <c r="B138" s="17"/>
      <c r="C138" s="17">
        <v>1066.19</v>
      </c>
    </row>
    <row r="139" spans="1:3" x14ac:dyDescent="0.25">
      <c r="A139" s="9" t="s">
        <v>113</v>
      </c>
      <c r="B139" s="18"/>
      <c r="C139" s="18">
        <v>-5000</v>
      </c>
    </row>
    <row r="140" spans="1:3" x14ac:dyDescent="0.25">
      <c r="B140" s="2"/>
      <c r="C140" s="2"/>
    </row>
    <row r="141" spans="1:3" ht="18.75" x14ac:dyDescent="0.3">
      <c r="A141" s="6" t="s">
        <v>71</v>
      </c>
      <c r="B141" s="7">
        <f>SUM(C128:C139)</f>
        <v>16824.989999999998</v>
      </c>
      <c r="C141" s="2"/>
    </row>
    <row r="142" spans="1:3" ht="15.75" x14ac:dyDescent="0.25">
      <c r="A142" s="4"/>
      <c r="B142" s="4"/>
    </row>
    <row r="143" spans="1:3" ht="21" x14ac:dyDescent="0.35">
      <c r="A143" s="35" t="s">
        <v>114</v>
      </c>
      <c r="B143" s="36">
        <f>B82+B96+B109+B141+B123</f>
        <v>46708.729999999996</v>
      </c>
    </row>
    <row r="144" spans="1:3" ht="21" x14ac:dyDescent="0.35">
      <c r="A144" s="35" t="s">
        <v>115</v>
      </c>
      <c r="B144" s="36">
        <f>B84+B96+B109+B141+B123</f>
        <v>33967.85</v>
      </c>
    </row>
    <row r="147" spans="1:6" x14ac:dyDescent="0.25">
      <c r="A147" s="102" t="s">
        <v>64</v>
      </c>
      <c r="B147" s="102"/>
      <c r="C147" s="102"/>
      <c r="D147" s="102"/>
      <c r="E147" s="102"/>
      <c r="F147" s="102"/>
    </row>
    <row r="148" spans="1:6" x14ac:dyDescent="0.25">
      <c r="A148" s="102"/>
      <c r="B148" s="102"/>
      <c r="C148" s="102"/>
      <c r="D148" s="102"/>
      <c r="E148" s="102"/>
      <c r="F148" s="102"/>
    </row>
    <row r="149" spans="1:6" ht="23.25" x14ac:dyDescent="0.25">
      <c r="A149" s="101" t="s">
        <v>1</v>
      </c>
      <c r="B149" s="101"/>
      <c r="C149" s="101"/>
      <c r="D149" s="101"/>
      <c r="E149" s="101"/>
      <c r="F149" s="101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8.75" x14ac:dyDescent="0.3">
      <c r="A163" s="6" t="s">
        <v>71</v>
      </c>
      <c r="B163" s="7">
        <f>SUM(F151:F161)</f>
        <v>14363.76</v>
      </c>
    </row>
    <row r="164" spans="1:6" ht="18.75" x14ac:dyDescent="0.3">
      <c r="A164" s="6" t="s">
        <v>72</v>
      </c>
      <c r="B164" s="7">
        <f>F157+F158+F160</f>
        <v>12389.88</v>
      </c>
    </row>
    <row r="165" spans="1:6" ht="18.75" x14ac:dyDescent="0.3">
      <c r="A165" s="6" t="s">
        <v>73</v>
      </c>
      <c r="B165" s="7">
        <f>SUM(F151:F156)+F159+F161</f>
        <v>1973.8799999999999</v>
      </c>
    </row>
    <row r="167" spans="1:6" ht="23.25" x14ac:dyDescent="0.35">
      <c r="A167" s="101" t="s">
        <v>34</v>
      </c>
      <c r="B167" s="101"/>
      <c r="D167" s="27" t="s">
        <v>35</v>
      </c>
      <c r="E167" s="28"/>
    </row>
    <row r="168" spans="1:6" ht="18.75" x14ac:dyDescent="0.3">
      <c r="A168" s="1" t="s">
        <v>36</v>
      </c>
      <c r="B168" s="1" t="s">
        <v>7</v>
      </c>
      <c r="D168" s="29"/>
      <c r="E168" s="30" t="s">
        <v>37</v>
      </c>
    </row>
    <row r="169" spans="1:6" x14ac:dyDescent="0.25">
      <c r="A169" s="10" t="s">
        <v>38</v>
      </c>
      <c r="B169" s="23">
        <v>200</v>
      </c>
      <c r="D169" s="31"/>
      <c r="E169" s="32" t="s">
        <v>39</v>
      </c>
    </row>
    <row r="170" spans="1:6" x14ac:dyDescent="0.25">
      <c r="A170" s="10" t="s">
        <v>40</v>
      </c>
      <c r="B170" s="23">
        <v>200</v>
      </c>
      <c r="D170" s="33"/>
      <c r="E170" s="34" t="s">
        <v>41</v>
      </c>
    </row>
    <row r="171" spans="1:6" x14ac:dyDescent="0.25">
      <c r="A171" s="10" t="s">
        <v>74</v>
      </c>
      <c r="B171" s="23">
        <v>150</v>
      </c>
      <c r="D171" s="9"/>
      <c r="E171" s="9" t="s">
        <v>75</v>
      </c>
    </row>
    <row r="172" spans="1:6" x14ac:dyDescent="0.25">
      <c r="A172" s="8" t="s">
        <v>42</v>
      </c>
      <c r="B172" s="17">
        <v>81.400000000000006</v>
      </c>
    </row>
    <row r="173" spans="1:6" x14ac:dyDescent="0.25">
      <c r="A173" s="8" t="s">
        <v>43</v>
      </c>
      <c r="B173" s="17">
        <v>50</v>
      </c>
    </row>
    <row r="174" spans="1:6" x14ac:dyDescent="0.25">
      <c r="A174" s="8" t="s">
        <v>44</v>
      </c>
      <c r="B174" s="17">
        <v>86.4</v>
      </c>
    </row>
    <row r="175" spans="1:6" x14ac:dyDescent="0.25">
      <c r="A175" s="8" t="s">
        <v>45</v>
      </c>
      <c r="B175" s="17">
        <v>90</v>
      </c>
    </row>
    <row r="176" spans="1:6" x14ac:dyDescent="0.25">
      <c r="B176" s="2"/>
    </row>
    <row r="177" spans="1:3" ht="18.75" x14ac:dyDescent="0.3">
      <c r="A177" s="6" t="s">
        <v>71</v>
      </c>
      <c r="B177" s="7">
        <f>SUM(B169:B175)</f>
        <v>857.8</v>
      </c>
    </row>
    <row r="178" spans="1:3" ht="18.75" x14ac:dyDescent="0.3">
      <c r="A178" s="6" t="s">
        <v>76</v>
      </c>
      <c r="B178" s="7">
        <f>SUM(B169:B175)+F156+F161</f>
        <v>1722.7899999999997</v>
      </c>
    </row>
    <row r="180" spans="1:3" x14ac:dyDescent="0.25">
      <c r="A180" s="101" t="s">
        <v>47</v>
      </c>
      <c r="B180" s="101"/>
      <c r="C180" s="101"/>
    </row>
    <row r="181" spans="1:3" x14ac:dyDescent="0.25">
      <c r="A181" s="101"/>
      <c r="B181" s="101"/>
      <c r="C181" s="101"/>
    </row>
    <row r="182" spans="1:3" ht="18.75" x14ac:dyDescent="0.3">
      <c r="A182" s="1" t="s">
        <v>36</v>
      </c>
      <c r="B182" s="1" t="s">
        <v>6</v>
      </c>
      <c r="C182" s="1" t="s">
        <v>7</v>
      </c>
    </row>
    <row r="183" spans="1:3" x14ac:dyDescent="0.25">
      <c r="A183" s="10" t="s">
        <v>48</v>
      </c>
      <c r="B183" s="23">
        <v>400</v>
      </c>
      <c r="C183" s="23">
        <f>12*B183</f>
        <v>4800</v>
      </c>
    </row>
    <row r="184" spans="1:3" x14ac:dyDescent="0.25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5">
      <c r="A185" s="10" t="s">
        <v>50</v>
      </c>
      <c r="B185" s="23">
        <v>52</v>
      </c>
      <c r="C185" s="23">
        <f t="shared" si="2"/>
        <v>624</v>
      </c>
    </row>
    <row r="186" spans="1:3" x14ac:dyDescent="0.25">
      <c r="A186" s="10" t="s">
        <v>51</v>
      </c>
      <c r="B186" s="23">
        <v>32</v>
      </c>
      <c r="C186" s="23">
        <f t="shared" si="2"/>
        <v>384</v>
      </c>
    </row>
    <row r="187" spans="1:3" x14ac:dyDescent="0.25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5">
      <c r="B188" s="2"/>
      <c r="C188" s="2"/>
    </row>
    <row r="189" spans="1:3" ht="18.75" x14ac:dyDescent="0.3">
      <c r="A189" s="6" t="s">
        <v>71</v>
      </c>
      <c r="B189" s="7">
        <f>SUM(C183:C187)</f>
        <v>7792.3200000000006</v>
      </c>
      <c r="C189" s="2"/>
    </row>
    <row r="190" spans="1:3" ht="18.75" x14ac:dyDescent="0.3">
      <c r="A190" s="6"/>
      <c r="B190" s="7"/>
      <c r="C190" s="2"/>
    </row>
    <row r="191" spans="1:3" x14ac:dyDescent="0.25">
      <c r="A191" s="101" t="s">
        <v>77</v>
      </c>
      <c r="B191" s="101"/>
      <c r="C191" s="101"/>
    </row>
    <row r="192" spans="1:3" x14ac:dyDescent="0.25">
      <c r="A192" s="101"/>
      <c r="B192" s="101"/>
      <c r="C192" s="101"/>
    </row>
    <row r="193" spans="1:3" x14ac:dyDescent="0.25">
      <c r="A193" s="8" t="s">
        <v>56</v>
      </c>
      <c r="B193" s="17"/>
      <c r="C193" s="17">
        <v>200</v>
      </c>
    </row>
    <row r="194" spans="1:3" x14ac:dyDescent="0.25">
      <c r="A194" s="8" t="s">
        <v>78</v>
      </c>
      <c r="B194" s="17"/>
      <c r="C194" s="17">
        <v>157.69999999999999</v>
      </c>
    </row>
    <row r="195" spans="1:3" x14ac:dyDescent="0.25">
      <c r="A195" s="10" t="s">
        <v>57</v>
      </c>
      <c r="B195" s="23">
        <v>12</v>
      </c>
      <c r="C195" s="23">
        <f>12*B195</f>
        <v>144</v>
      </c>
    </row>
    <row r="196" spans="1:3" x14ac:dyDescent="0.25">
      <c r="A196" s="10" t="s">
        <v>59</v>
      </c>
      <c r="B196" s="23"/>
      <c r="C196" s="23">
        <v>1000</v>
      </c>
    </row>
    <row r="197" spans="1:3" x14ac:dyDescent="0.25">
      <c r="A197" s="10" t="s">
        <v>60</v>
      </c>
      <c r="B197" s="23"/>
      <c r="C197" s="23">
        <v>500</v>
      </c>
    </row>
    <row r="198" spans="1:3" x14ac:dyDescent="0.25">
      <c r="A198" s="10" t="s">
        <v>61</v>
      </c>
      <c r="B198" s="23"/>
      <c r="C198" s="23">
        <v>1500</v>
      </c>
    </row>
    <row r="199" spans="1:3" ht="18.75" x14ac:dyDescent="0.3">
      <c r="A199" s="6"/>
      <c r="B199" s="7"/>
      <c r="C199" s="2"/>
    </row>
    <row r="200" spans="1:3" ht="18.75" x14ac:dyDescent="0.3">
      <c r="A200" s="6" t="s">
        <v>71</v>
      </c>
      <c r="B200" s="7">
        <f>SUM(C193:C198)</f>
        <v>3501.7</v>
      </c>
      <c r="C200" s="2"/>
    </row>
    <row r="202" spans="1:3" x14ac:dyDescent="0.25">
      <c r="A202" s="101" t="s">
        <v>53</v>
      </c>
      <c r="B202" s="101"/>
      <c r="C202" s="101"/>
    </row>
    <row r="203" spans="1:3" x14ac:dyDescent="0.25">
      <c r="A203" s="101"/>
      <c r="B203" s="101"/>
      <c r="C203" s="101"/>
    </row>
    <row r="204" spans="1:3" ht="18.75" x14ac:dyDescent="0.3">
      <c r="A204" s="1" t="s">
        <v>36</v>
      </c>
      <c r="B204" s="1" t="s">
        <v>6</v>
      </c>
      <c r="C204" s="1" t="s">
        <v>7</v>
      </c>
    </row>
    <row r="205" spans="1:3" x14ac:dyDescent="0.25">
      <c r="A205" s="10" t="s">
        <v>54</v>
      </c>
      <c r="B205" s="23">
        <v>300</v>
      </c>
      <c r="C205" s="23">
        <f>12*B205</f>
        <v>3600</v>
      </c>
    </row>
    <row r="206" spans="1:3" x14ac:dyDescent="0.25">
      <c r="A206" s="10" t="s">
        <v>55</v>
      </c>
      <c r="B206" s="23">
        <v>7.9</v>
      </c>
      <c r="C206" s="23">
        <f>12*B206</f>
        <v>94.800000000000011</v>
      </c>
    </row>
    <row r="207" spans="1:3" x14ac:dyDescent="0.25">
      <c r="A207" s="10" t="s">
        <v>58</v>
      </c>
      <c r="B207" s="23"/>
      <c r="C207" s="23">
        <v>600</v>
      </c>
    </row>
    <row r="208" spans="1:3" x14ac:dyDescent="0.25">
      <c r="A208" s="10" t="s">
        <v>79</v>
      </c>
      <c r="B208" s="23">
        <v>22</v>
      </c>
      <c r="C208" s="23">
        <f>12*B208</f>
        <v>264</v>
      </c>
    </row>
    <row r="209" spans="1:6" x14ac:dyDescent="0.25">
      <c r="A209" s="9" t="s">
        <v>80</v>
      </c>
      <c r="B209" s="18"/>
      <c r="C209" s="18">
        <v>-164.15</v>
      </c>
    </row>
    <row r="210" spans="1:6" x14ac:dyDescent="0.25">
      <c r="A210" s="10" t="s">
        <v>81</v>
      </c>
      <c r="B210" s="23"/>
      <c r="C210" s="23">
        <v>3700</v>
      </c>
    </row>
    <row r="211" spans="1:6" x14ac:dyDescent="0.25">
      <c r="A211" s="9" t="s">
        <v>82</v>
      </c>
      <c r="B211" s="18"/>
      <c r="C211" s="18">
        <v>-347.2</v>
      </c>
    </row>
    <row r="212" spans="1:6" x14ac:dyDescent="0.25">
      <c r="A212" s="10" t="s">
        <v>83</v>
      </c>
      <c r="B212" s="23"/>
      <c r="C212" s="23">
        <v>500</v>
      </c>
    </row>
    <row r="213" spans="1:6" x14ac:dyDescent="0.25">
      <c r="A213" s="9" t="s">
        <v>84</v>
      </c>
      <c r="B213" s="18"/>
      <c r="C213" s="18">
        <v>-351.6</v>
      </c>
    </row>
    <row r="214" spans="1:6" x14ac:dyDescent="0.25">
      <c r="A214" s="9" t="s">
        <v>85</v>
      </c>
      <c r="B214" s="18"/>
      <c r="C214" s="18">
        <v>-2000</v>
      </c>
    </row>
    <row r="215" spans="1:6" x14ac:dyDescent="0.25">
      <c r="B215" s="2"/>
      <c r="C215" s="2"/>
    </row>
    <row r="216" spans="1:6" ht="18.75" x14ac:dyDescent="0.3">
      <c r="A216" s="6" t="s">
        <v>71</v>
      </c>
      <c r="B216" s="7">
        <f>SUM(C205:C214)</f>
        <v>5895.85</v>
      </c>
      <c r="C216" s="2"/>
    </row>
    <row r="217" spans="1:6" ht="15.75" x14ac:dyDescent="0.25">
      <c r="A217" s="4"/>
      <c r="B217" s="4"/>
    </row>
    <row r="218" spans="1:6" ht="21" x14ac:dyDescent="0.35">
      <c r="A218" s="35" t="s">
        <v>86</v>
      </c>
      <c r="B218" s="36">
        <f>B163+B177+B189+B216+B200</f>
        <v>32411.430000000004</v>
      </c>
    </row>
    <row r="219" spans="1:6" ht="21" x14ac:dyDescent="0.35">
      <c r="A219" s="35" t="s">
        <v>87</v>
      </c>
      <c r="B219" s="36">
        <f>B165+B177+B189+B216+B200</f>
        <v>20021.55</v>
      </c>
    </row>
    <row r="221" spans="1:6" x14ac:dyDescent="0.25">
      <c r="A221" s="102" t="s">
        <v>0</v>
      </c>
      <c r="B221" s="102"/>
      <c r="C221" s="102"/>
      <c r="D221" s="102"/>
      <c r="E221" s="102"/>
      <c r="F221" s="102"/>
    </row>
    <row r="222" spans="1:6" x14ac:dyDescent="0.25">
      <c r="A222" s="102"/>
      <c r="B222" s="102"/>
      <c r="C222" s="102"/>
      <c r="D222" s="102"/>
      <c r="E222" s="102"/>
      <c r="F222" s="102"/>
    </row>
    <row r="223" spans="1:6" ht="23.25" x14ac:dyDescent="0.25">
      <c r="A223" s="101" t="s">
        <v>1</v>
      </c>
      <c r="B223" s="101"/>
      <c r="C223" s="101"/>
      <c r="D223" s="101"/>
      <c r="E223" s="101"/>
      <c r="F223" s="101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5.75" x14ac:dyDescent="0.25">
      <c r="A234" s="4" t="s">
        <v>32</v>
      </c>
      <c r="B234" s="5">
        <f>SUM(F225:F232)</f>
        <v>14352.75</v>
      </c>
    </row>
    <row r="235" spans="1:6" ht="15.75" x14ac:dyDescent="0.25">
      <c r="A235" s="4" t="s">
        <v>33</v>
      </c>
      <c r="B235" s="5">
        <f>SUM(F225:F230)</f>
        <v>2202.87</v>
      </c>
    </row>
    <row r="237" spans="1:6" ht="23.25" x14ac:dyDescent="0.35">
      <c r="A237" s="101" t="s">
        <v>34</v>
      </c>
      <c r="B237" s="101"/>
      <c r="D237" s="11" t="s">
        <v>35</v>
      </c>
      <c r="E237" s="12"/>
    </row>
    <row r="238" spans="1:6" ht="18.75" x14ac:dyDescent="0.3">
      <c r="A238" s="1" t="s">
        <v>36</v>
      </c>
      <c r="B238" s="1" t="s">
        <v>7</v>
      </c>
      <c r="D238" s="13"/>
      <c r="E238" s="19" t="s">
        <v>37</v>
      </c>
    </row>
    <row r="239" spans="1:6" x14ac:dyDescent="0.25">
      <c r="A239" s="10" t="s">
        <v>38</v>
      </c>
      <c r="B239" s="23">
        <v>400</v>
      </c>
      <c r="D239" s="14"/>
      <c r="E239" s="20" t="s">
        <v>39</v>
      </c>
    </row>
    <row r="240" spans="1:6" x14ac:dyDescent="0.25">
      <c r="A240" s="10" t="s">
        <v>40</v>
      </c>
      <c r="B240" s="23">
        <v>1350</v>
      </c>
      <c r="D240" s="21"/>
      <c r="E240" s="22" t="s">
        <v>41</v>
      </c>
    </row>
    <row r="241" spans="1:3" x14ac:dyDescent="0.25">
      <c r="A241" s="8" t="s">
        <v>42</v>
      </c>
      <c r="B241" s="17">
        <v>80.599999999999994</v>
      </c>
    </row>
    <row r="242" spans="1:3" x14ac:dyDescent="0.25">
      <c r="A242" s="8" t="s">
        <v>43</v>
      </c>
      <c r="B242" s="17">
        <v>50</v>
      </c>
    </row>
    <row r="243" spans="1:3" x14ac:dyDescent="0.25">
      <c r="A243" s="8" t="s">
        <v>44</v>
      </c>
      <c r="B243" s="17">
        <v>85.7</v>
      </c>
    </row>
    <row r="244" spans="1:3" x14ac:dyDescent="0.25">
      <c r="A244" s="8" t="s">
        <v>45</v>
      </c>
      <c r="B244" s="17">
        <v>90</v>
      </c>
    </row>
    <row r="245" spans="1:3" x14ac:dyDescent="0.25">
      <c r="B245" s="2"/>
    </row>
    <row r="246" spans="1:3" ht="15.75" x14ac:dyDescent="0.25">
      <c r="A246" s="4" t="s">
        <v>32</v>
      </c>
      <c r="B246" s="5">
        <f>SUM(B239:B244)</f>
        <v>2056.3000000000002</v>
      </c>
    </row>
    <row r="247" spans="1:3" ht="15.75" x14ac:dyDescent="0.25">
      <c r="A247" s="4" t="s">
        <v>46</v>
      </c>
      <c r="B247" s="5">
        <f>SUM(B239:B244)+F230</f>
        <v>3258.61</v>
      </c>
    </row>
    <row r="249" spans="1:3" x14ac:dyDescent="0.25">
      <c r="A249" s="101" t="s">
        <v>47</v>
      </c>
      <c r="B249" s="101"/>
      <c r="C249" s="101"/>
    </row>
    <row r="250" spans="1:3" x14ac:dyDescent="0.25">
      <c r="A250" s="101"/>
      <c r="B250" s="101"/>
      <c r="C250" s="101"/>
    </row>
    <row r="251" spans="1:3" ht="18.75" x14ac:dyDescent="0.3">
      <c r="A251" s="1" t="s">
        <v>36</v>
      </c>
      <c r="B251" s="1" t="s">
        <v>6</v>
      </c>
      <c r="C251" s="1" t="s">
        <v>7</v>
      </c>
    </row>
    <row r="252" spans="1:3" x14ac:dyDescent="0.25">
      <c r="A252" s="10" t="s">
        <v>48</v>
      </c>
      <c r="B252" s="23">
        <v>400</v>
      </c>
      <c r="C252" s="23">
        <f>12*B252</f>
        <v>4800</v>
      </c>
    </row>
    <row r="253" spans="1:3" x14ac:dyDescent="0.25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5">
      <c r="A254" s="10" t="s">
        <v>50</v>
      </c>
      <c r="B254" s="23">
        <v>45</v>
      </c>
      <c r="C254" s="23">
        <f t="shared" si="3"/>
        <v>540</v>
      </c>
    </row>
    <row r="255" spans="1:3" x14ac:dyDescent="0.25">
      <c r="A255" s="10" t="s">
        <v>51</v>
      </c>
      <c r="B255" s="23">
        <v>35</v>
      </c>
      <c r="C255" s="23">
        <f t="shared" si="3"/>
        <v>420</v>
      </c>
    </row>
    <row r="256" spans="1:3" x14ac:dyDescent="0.25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5">
      <c r="B257" s="2"/>
      <c r="C257" s="2"/>
    </row>
    <row r="258" spans="1:3" ht="15.75" x14ac:dyDescent="0.25">
      <c r="A258" s="4" t="s">
        <v>32</v>
      </c>
      <c r="B258" s="5">
        <f>SUM(C252:C256)</f>
        <v>7744.3200000000006</v>
      </c>
      <c r="C258" s="2"/>
    </row>
    <row r="260" spans="1:3" x14ac:dyDescent="0.25">
      <c r="A260" s="101" t="s">
        <v>53</v>
      </c>
      <c r="B260" s="101"/>
      <c r="C260" s="101"/>
    </row>
    <row r="261" spans="1:3" x14ac:dyDescent="0.25">
      <c r="A261" s="101"/>
      <c r="B261" s="101"/>
      <c r="C261" s="101"/>
    </row>
    <row r="262" spans="1:3" ht="18.75" x14ac:dyDescent="0.3">
      <c r="A262" s="1" t="s">
        <v>36</v>
      </c>
      <c r="B262" s="1" t="s">
        <v>6</v>
      </c>
      <c r="C262" s="1" t="s">
        <v>7</v>
      </c>
    </row>
    <row r="263" spans="1:3" x14ac:dyDescent="0.25">
      <c r="A263" s="10" t="s">
        <v>54</v>
      </c>
      <c r="B263" s="23">
        <v>300</v>
      </c>
      <c r="C263" s="23">
        <f>12*B263</f>
        <v>3600</v>
      </c>
    </row>
    <row r="264" spans="1:3" x14ac:dyDescent="0.25">
      <c r="A264" s="10" t="s">
        <v>55</v>
      </c>
      <c r="B264" s="23">
        <v>12.7</v>
      </c>
      <c r="C264" s="23">
        <f>12*B264</f>
        <v>152.39999999999998</v>
      </c>
    </row>
    <row r="265" spans="1:3" x14ac:dyDescent="0.25">
      <c r="A265" s="8" t="s">
        <v>56</v>
      </c>
      <c r="B265" s="17"/>
      <c r="C265" s="17">
        <v>200</v>
      </c>
    </row>
    <row r="266" spans="1:3" x14ac:dyDescent="0.25">
      <c r="A266" s="10" t="s">
        <v>57</v>
      </c>
      <c r="B266" s="23">
        <v>20</v>
      </c>
      <c r="C266" s="23">
        <f>12*B266</f>
        <v>240</v>
      </c>
    </row>
    <row r="267" spans="1:3" x14ac:dyDescent="0.25">
      <c r="A267" s="10" t="s">
        <v>58</v>
      </c>
      <c r="B267" s="23"/>
      <c r="C267" s="23">
        <v>600</v>
      </c>
    </row>
    <row r="268" spans="1:3" x14ac:dyDescent="0.25">
      <c r="A268" s="10" t="s">
        <v>59</v>
      </c>
      <c r="B268" s="23"/>
      <c r="C268" s="23">
        <v>500</v>
      </c>
    </row>
    <row r="269" spans="1:3" x14ac:dyDescent="0.25">
      <c r="A269" s="10" t="s">
        <v>60</v>
      </c>
      <c r="B269" s="23"/>
      <c r="C269" s="23">
        <v>800</v>
      </c>
    </row>
    <row r="270" spans="1:3" x14ac:dyDescent="0.25">
      <c r="A270" s="10" t="s">
        <v>61</v>
      </c>
      <c r="B270" s="23"/>
      <c r="C270" s="23">
        <v>1000</v>
      </c>
    </row>
    <row r="271" spans="1:3" x14ac:dyDescent="0.25">
      <c r="B271" s="2"/>
      <c r="C271" s="2"/>
    </row>
    <row r="272" spans="1:3" ht="15.75" x14ac:dyDescent="0.25">
      <c r="A272" s="4" t="s">
        <v>32</v>
      </c>
      <c r="B272" s="5">
        <f>SUM(C263:C270)</f>
        <v>7092.4</v>
      </c>
      <c r="C272" s="2"/>
    </row>
    <row r="273" spans="1:2" ht="15.75" x14ac:dyDescent="0.25">
      <c r="A273" s="4"/>
      <c r="B273" s="4"/>
    </row>
    <row r="274" spans="1:2" x14ac:dyDescent="0.25">
      <c r="A274" s="9" t="s">
        <v>62</v>
      </c>
      <c r="B274" s="18">
        <f>B234+B246+B258+B272</f>
        <v>31245.769999999997</v>
      </c>
    </row>
    <row r="275" spans="1:2" x14ac:dyDescent="0.25">
      <c r="A275" s="9" t="s">
        <v>63</v>
      </c>
      <c r="B275" s="18">
        <f>B235+B246+B258+B272</f>
        <v>19095.89</v>
      </c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48"/>
  <sheetViews>
    <sheetView tabSelected="1" topLeftCell="A31" zoomScale="160" zoomScaleNormal="160" workbookViewId="0">
      <selection activeCell="E56" sqref="E56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  <col min="8" max="8" width="16.140625" customWidth="1"/>
    <col min="9" max="9" width="16.7109375" customWidth="1"/>
  </cols>
  <sheetData>
    <row r="1" spans="1:12" ht="15" customHeight="1" x14ac:dyDescent="0.45">
      <c r="A1" s="102" t="s">
        <v>164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4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18.75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3.25" x14ac:dyDescent="0.35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5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5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5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5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5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5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8.75" x14ac:dyDescent="0.3">
      <c r="A12" s="6"/>
      <c r="B12" s="7"/>
    </row>
    <row r="13" spans="1:12" ht="18.75" x14ac:dyDescent="0.3">
      <c r="A13" s="6"/>
      <c r="B13" s="7"/>
    </row>
    <row r="14" spans="1:12" x14ac:dyDescent="0.25">
      <c r="A14" s="102" t="s">
        <v>165</v>
      </c>
      <c r="B14" s="102"/>
      <c r="C14" s="102"/>
      <c r="D14" s="102"/>
      <c r="E14" s="102"/>
      <c r="F14" s="102"/>
    </row>
    <row r="15" spans="1:12" x14ac:dyDescent="0.25">
      <c r="A15" s="102"/>
      <c r="B15" s="102"/>
      <c r="C15" s="102"/>
      <c r="D15" s="102"/>
      <c r="E15" s="102"/>
      <c r="F15" s="102"/>
    </row>
    <row r="16" spans="1:12" ht="18.75" x14ac:dyDescent="0.3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5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5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5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5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5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5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5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5">
      <c r="A27" s="102" t="s">
        <v>167</v>
      </c>
      <c r="B27" s="102"/>
      <c r="C27" s="102"/>
      <c r="D27" s="102"/>
      <c r="E27" s="102"/>
      <c r="F27" s="102"/>
    </row>
    <row r="28" spans="1:6" x14ac:dyDescent="0.25">
      <c r="A28" s="102"/>
      <c r="B28" s="102"/>
      <c r="C28" s="102"/>
      <c r="D28" s="102"/>
      <c r="E28" s="102"/>
      <c r="F28" s="102"/>
    </row>
    <row r="29" spans="1:6" ht="18.75" x14ac:dyDescent="0.3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5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5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5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5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5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5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5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5">
      <c r="A40" s="102" t="s">
        <v>169</v>
      </c>
      <c r="B40" s="102"/>
      <c r="C40" s="102"/>
      <c r="D40" s="102"/>
      <c r="E40" s="102"/>
      <c r="F40" s="102"/>
    </row>
    <row r="41" spans="1:6" x14ac:dyDescent="0.25">
      <c r="A41" s="102"/>
      <c r="B41" s="102"/>
      <c r="C41" s="102"/>
      <c r="D41" s="102"/>
      <c r="E41" s="102"/>
      <c r="F41" s="102"/>
    </row>
    <row r="42" spans="1:6" ht="18.75" x14ac:dyDescent="0.3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5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5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5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5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5">
      <c r="A47" s="96" t="s">
        <v>145</v>
      </c>
      <c r="B47" s="96" t="s">
        <v>146</v>
      </c>
      <c r="C47" s="97">
        <v>45017</v>
      </c>
      <c r="D47" s="98"/>
      <c r="E47" s="99"/>
      <c r="F47" s="99">
        <v>50.67</v>
      </c>
    </row>
    <row r="48" spans="1:6" x14ac:dyDescent="0.25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142.33000000000001</v>
      </c>
      <c r="F48" s="23">
        <f>12*E48</f>
        <v>1707.96</v>
      </c>
    </row>
  </sheetData>
  <mergeCells count="4">
    <mergeCell ref="A1:F2"/>
    <mergeCell ref="A14:F15"/>
    <mergeCell ref="A27:F28"/>
    <mergeCell ref="A40:F4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2023-03-26T16:30:20Z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